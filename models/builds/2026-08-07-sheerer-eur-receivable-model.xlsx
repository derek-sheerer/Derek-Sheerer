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76949a73a04b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85aafca73c21435b"/>
    <x:sheet xmlns:r="http://schemas.openxmlformats.org/officeDocument/2006/relationships" name="Legend Key" sheetId="2" r:id="R7e7b8d2684a44a75"/>
    <x:sheet xmlns:r="http://schemas.openxmlformats.org/officeDocument/2006/relationships" name="Inputs" sheetId="3" r:id="Rca6e7563facc465f"/>
    <x:sheet xmlns:r="http://schemas.openxmlformats.org/officeDocument/2006/relationships" name="Forward Hedge" sheetId="4" r:id="R6ef763feeee04af0"/>
    <x:sheet xmlns:r="http://schemas.openxmlformats.org/officeDocument/2006/relationships" name="Money Market Hedge" sheetId="5" r:id="Red9357da35334ad7"/>
    <x:sheet xmlns:r="http://schemas.openxmlformats.org/officeDocument/2006/relationships" name="Option Hedge" sheetId="6" r:id="R7244870b5b184bed"/>
    <x:sheet xmlns:r="http://schemas.openxmlformats.org/officeDocument/2006/relationships" name="Sensitivity" sheetId="7" r:id="Ra71ea41870534a53"/>
    <x:sheet xmlns:r="http://schemas.openxmlformats.org/officeDocument/2006/relationships" name="Notes &amp; Assumptions" sheetId="8" r:id="R5dc427ba77014b56"/>
    <x:sheet xmlns:r="http://schemas.openxmlformats.org/officeDocument/2006/relationships" name="Validation Checks" sheetId="9" r:id="R0d3d72c12fc342f0"/>
  </x:sheets>
  <x:definedNames>
    <x:definedName name="FC_AMT">'Inputs'!$B$7</x:definedName>
    <x:definedName name="S0_in">'Inputs'!$B$8</x:definedName>
    <x:definedName name="F0_in">'Inputs'!$B$9</x:definedName>
    <x:definedName name="R_USD">'Inputs'!$B$10</x:definedName>
    <x:definedName name="R_FC">'Inputs'!$B$11</x:definedName>
    <x:definedName name="K_PUT">'Inputs'!$B$12</x:definedName>
    <x:definedName name="K_CALL">'Inputs'!$B$13</x:definedName>
    <x:definedName name="PREM_PUT">'Inputs'!$B$14</x:definedName>
    <x:definedName name="PREM_CALL">'Inputs'!$B$15</x:definedName>
    <x:definedName name="T_DAYS">'Inputs'!$B$16</x:definedName>
  </x:definedNames>
</x:workbook>
</file>

<file path=xl/comments1.xml><?xml version="1.0" encoding="utf-8"?>
<x:comments xmlns:x="http://schemas.openxmlformats.org/spreadsheetml/2006/main">
  <x:authors>
    <x:author>tc={F213C308-A492-DFAB-4B0E-AFDF10720A3D}</x:author>
    <x:author>tc={8D483B20-670F-0F2E-B9FC-AF1FC3596E74}</x:author>
    <x:author>tc={DB53D299-E1D4-2F14-5496-A96EBFE84C06}</x:author>
    <x:author>tc={4E82EAE5-6A82-1BE1-82ED-EB456B54BC81}</x:author>
    <x:author>tc={12F81BA0-1F0A-8E3A-3460-F0DADFF6B45E}</x:author>
    <x:author>tc={A2B234CC-7D99-A7E0-3938-8BC1346625F7}</x:author>
    <x:author>tc={2C983934-E2D1-252C-E477-70888D0CFBD0}</x:author>
    <x:author>tc={51D1AECC-B360-5CBB-93AE-2EA1B3741181}</x:author>
    <x:author>tc={C17DB93D-98E3-EAEF-03B8-874BB7312424}</x:author>
    <x:author>tc={A9BEA561-B289-92AF-CF55-15466059FD12}</x:author>
  </x:authors>
  <x:commentList>
    <x:comment ref="B7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scenario assignment. Indicative scenario input.</x:t>
        </x:r>
      </x:text>
    </x:comment>
    <x:comment ref="B8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the live spot market.</x:t>
        </x:r>
      </x:text>
    </x:comment>
    <x:comment ref="B9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 revised to the rounded covered-interest-parity implied rate; Phase 4 source will be a live forward quote.</x:t>
        </x:r>
      </x:text>
    </x:comment>
    <x:comment ref="B10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Federal Reserve H.15.</x:t>
        </x:r>
      </x:text>
    </x:comment>
    <x:comment ref="B1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the ECB reference rate.</x:t>
        </x:r>
      </x:text>
    </x:comment>
    <x:comment ref="B12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the option market.</x:t>
        </x:r>
      </x:text>
    </x:comment>
    <x:comment ref="B13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the option market.</x:t>
        </x:r>
      </x:text>
    </x:comment>
    <x:comment ref="B1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the option market.</x:t>
        </x:r>
      </x:text>
    </x:comment>
    <x:comment ref="B15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specification placeholder; Phase 4 source will be the option market.</x:t>
        </x:r>
      </x:text>
    </x:comment>
    <x:comment ref="B16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Stage 2 scenario assignment. Indicative scenario input.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2">
    <x:numFmt numFmtId="200" formatCode="yyyy-mm-dd"/>
    <x:numFmt numFmtId="201" formatCode="$#,##0;[Red]($#,##0);-"/>
    <x:numFmt numFmtId="202" formatCode="0.00000"/>
    <x:numFmt numFmtId="203" formatCode="€#,##0;[Red](€#,##0);-"/>
    <x:numFmt numFmtId="204" formatCode="0.00%"/>
    <x:numFmt numFmtId="205" formatCode="$0.00000"/>
    <x:numFmt numFmtId="206" formatCode="#,##0"/>
    <x:numFmt numFmtId="207" formatCode="$#,##0"/>
    <x:numFmt numFmtId="208" formatCode="€#,##0"/>
    <x:numFmt numFmtId="209" formatCode="0%"/>
    <x:numFmt numFmtId="210" formatCode="$#,##0.00;[Red]($#,##0.00);-"/>
    <x:numFmt numFmtId="211" formatCode="0"/>
  </x:numFmts>
  <x:fonts count="6">
    <x:font>
      <x:sz val="11"/>
      <x:name val="Carlito"/>
    </x:font>
    <x:font>
      <x:sz val="10"/>
      <x:color rgb="FF1F2937"/>
      <x:name val="Aptos"/>
    </x:font>
    <x:font>
      <x:b/>
      <x:sz val="18"/>
      <x:color rgb="FFFFFFFF"/>
      <x:name val="Aptos Display"/>
    </x:font>
    <x:font>
      <x:b/>
      <x:i/>
      <x:sz val="18"/>
      <x:color rgb="FF1F4E78"/>
      <x:name val="Aptos Display"/>
    </x:font>
    <x:font>
      <x:b/>
      <x:sz val="11"/>
      <x:color rgb="FF1F4E78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7E6E6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DEBF7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</x:border>
    <x:border>
      <x:left style="thin">
        <x:color rgb="FFA6A6A6"/>
      </x:left>
      <x:right style="thin">
        <x:color rgb="FFA6A6A6"/>
      </x:right>
    </x:border>
    <x:border>
      <x:left style="thin">
        <x:color rgb="FFA6A6A6"/>
      </x:left>
      <x:right style="thin">
        <x:color rgb="FFA6A6A6"/>
      </x:right>
      <x:bottom style="thin">
        <x:color rgb="FFA6A6A6"/>
      </x:bottom>
    </x:border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</x:border>
    <x:border>
      <x:right style="thin">
        <x:color rgb="FFA6A6A6"/>
      </x:right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</x:borders>
  <x:cellStyleXfs count="1">
    <x:xf numFmtId="0" fontId="0" fillId="0" borderId="0"/>
  </x:cellStyleXfs>
  <x:cellXfs count="17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0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 wrapText="0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vertical="center"/>
    </x:xf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horizont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1" fontId="0" fillId="4" borderId="2" xfId="0" applyNumberFormat="1" applyFont="1" applyFill="1" applyBorder="1"/>
    <x:xf numFmtId="201" fontId="0" fillId="4" borderId="3" xfId="0" applyNumberFormat="1" applyFont="1" applyFill="1" applyBorder="1"/>
    <x:xf numFmtId="202" fontId="0" fillId="4" borderId="4" xfId="0" applyNumberFormat="1" applyFont="1" applyFill="1" applyBorder="1"/>
    <x:xf numFmtId="0" fontId="0" fillId="0" borderId="1" xfId="0" applyNumberFormat="1" applyFont="1" applyFill="1" applyBorder="1"/>
    <x:xf numFmtId="201" fontId="0" fillId="4" borderId="1" xfId="0" applyNumberFormat="1" applyFont="1" applyFill="1" applyBorder="1"/>
    <x:xf numFmtId="202" fontId="0" fillId="4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5" xfId="0" applyNumberFormat="1" applyFont="1" applyFill="1" applyBorder="1"/>
    <x:xf numFmtId="0" fontId="0" fillId="6" borderId="6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0" fontId="0" fillId="6" borderId="10" xfId="0" applyNumberFormat="1" applyFont="1" applyFill="1" applyBorder="1"/>
    <x:xf numFmtId="0" fontId="0" fillId="6" borderId="11" xfId="0" applyNumberFormat="1" applyFont="1" applyFill="1" applyBorder="1"/>
    <x:xf numFmtId="0" fontId="0" fillId="6" borderId="12" xfId="0" applyNumberFormat="1" applyFont="1" applyFill="1" applyBorder="1"/>
    <x:xf numFmtId="0" fontId="0" fillId="6" borderId="5" xfId="0" applyNumberFormat="1" applyFont="1" applyFill="1" applyBorder="1" applyAlignment="1">
      <x:alignment wrapText="0"/>
    </x:xf>
    <x:xf numFmtId="0" fontId="0" fillId="6" borderId="6" xfId="0" applyNumberFormat="1" applyFont="1" applyFill="1" applyBorder="1" applyAlignment="1">
      <x:alignment wrapText="0"/>
    </x:xf>
    <x:xf numFmtId="0" fontId="0" fillId="6" borderId="7" xfId="0" applyNumberFormat="1" applyFont="1" applyFill="1" applyBorder="1" applyAlignment="1">
      <x:alignment wrapText="0"/>
    </x:xf>
    <x:xf numFmtId="0" fontId="0" fillId="6" borderId="8" xfId="0" applyNumberFormat="1" applyFont="1" applyFill="1" applyBorder="1" applyAlignment="1">
      <x:alignment wrapText="0"/>
    </x:xf>
    <x:xf numFmtId="0" fontId="0" fillId="6" borderId="0" xfId="0" applyNumberFormat="1" applyFont="1" applyFill="1" applyBorder="1" applyAlignment="1">
      <x:alignment wrapText="0"/>
    </x:xf>
    <x:xf numFmtId="0" fontId="0" fillId="6" borderId="9" xfId="0" applyNumberFormat="1" applyFont="1" applyFill="1" applyBorder="1" applyAlignment="1">
      <x:alignment wrapText="0"/>
    </x:xf>
    <x:xf numFmtId="0" fontId="0" fillId="6" borderId="10" xfId="0" applyNumberFormat="1" applyFont="1" applyFill="1" applyBorder="1" applyAlignment="1">
      <x:alignment wrapText="0"/>
    </x:xf>
    <x:xf numFmtId="0" fontId="0" fillId="6" borderId="11" xfId="0" applyNumberFormat="1" applyFont="1" applyFill="1" applyBorder="1" applyAlignment="1">
      <x:alignment wrapText="0"/>
    </x:xf>
    <x:xf numFmtId="0" fontId="0" fillId="6" borderId="12" xfId="0" applyNumberFormat="1" applyFont="1" applyFill="1" applyBorder="1" applyAlignment="1">
      <x:alignment wrapText="0"/>
    </x:xf>
    <x:xf numFmtId="0" fontId="0" fillId="6" borderId="5" xfId="0" applyNumberFormat="1" applyFont="1" applyFill="1" applyBorder="1" applyAlignment="1">
      <x:alignment vertical="top" wrapText="0"/>
    </x:xf>
    <x:xf numFmtId="0" fontId="0" fillId="6" borderId="6" xfId="0" applyNumberFormat="1" applyFont="1" applyFill="1" applyBorder="1" applyAlignment="1">
      <x:alignment vertical="top" wrapText="0"/>
    </x:xf>
    <x:xf numFmtId="0" fontId="0" fillId="6" borderId="7" xfId="0" applyNumberFormat="1" applyFont="1" applyFill="1" applyBorder="1" applyAlignment="1">
      <x:alignment vertical="top" wrapText="0"/>
    </x:xf>
    <x:xf numFmtId="0" fontId="0" fillId="6" borderId="8" xfId="0" applyNumberFormat="1" applyFont="1" applyFill="1" applyBorder="1" applyAlignment="1">
      <x:alignment vertical="top" wrapText="0"/>
    </x:xf>
    <x:xf numFmtId="0" fontId="0" fillId="6" borderId="0" xfId="0" applyNumberFormat="1" applyFont="1" applyFill="1" applyBorder="1" applyAlignment="1">
      <x:alignment vertical="top" wrapText="0"/>
    </x:xf>
    <x:xf numFmtId="0" fontId="0" fillId="6" borderId="9" xfId="0" applyNumberFormat="1" applyFont="1" applyFill="1" applyBorder="1" applyAlignment="1">
      <x:alignment vertical="top" wrapText="0"/>
    </x:xf>
    <x:xf numFmtId="0" fontId="0" fillId="6" borderId="10" xfId="0" applyNumberFormat="1" applyFont="1" applyFill="1" applyBorder="1" applyAlignment="1">
      <x:alignment vertical="top" wrapText="0"/>
    </x:xf>
    <x:xf numFmtId="0" fontId="0" fillId="6" borderId="11" xfId="0" applyNumberFormat="1" applyFont="1" applyFill="1" applyBorder="1" applyAlignment="1">
      <x:alignment vertical="top" wrapText="0"/>
    </x:xf>
    <x:xf numFmtId="0" fontId="0" fillId="6" borderId="12" xfId="0" applyNumberFormat="1" applyFont="1" applyFill="1" applyBorder="1" applyAlignment="1">
      <x:alignment vertical="top" wrapText="0"/>
    </x:xf>
    <x:xf numFmtId="0" fontId="0" fillId="7" borderId="0" xfId="0" applyNumberFormat="1" applyFont="1" applyFill="1" applyBorder="1"/>
    <x:xf numFmtId="0" fontId="0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7" borderId="1" xfId="0" applyNumberFormat="1" applyFont="1" applyFill="1" applyBorder="1"/>
    <x:xf numFmtId="0" fontId="0" fillId="8" borderId="1" xfId="0" applyNumberFormat="1" applyFont="1" applyFill="1" applyBorder="1"/>
    <x:xf numFmtId="0" fontId="0" fillId="9" borderId="1" xfId="0" applyNumberFormat="1" applyFont="1" applyFill="1" applyBorder="1"/>
    <x:xf numFmtId="0" fontId="0" fillId="8" borderId="2" xfId="0" applyNumberFormat="1" applyFont="1" applyFill="1" applyBorder="1"/>
    <x:xf numFmtId="0" fontId="0" fillId="8" borderId="3" xfId="0" applyNumberFormat="1" applyFont="1" applyFill="1" applyBorder="1"/>
    <x:xf numFmtId="0" fontId="0" fillId="8" borderId="4" xfId="0" applyNumberFormat="1" applyFont="1" applyFill="1" applyBorder="1"/>
    <x:xf numFmtId="203" fontId="0" fillId="7" borderId="1" xfId="0" applyNumberFormat="1" applyFont="1" applyFill="1" applyBorder="1"/>
    <x:xf numFmtId="202" fontId="0" fillId="8" borderId="2" xfId="0" applyNumberFormat="1" applyFont="1" applyFill="1" applyBorder="1"/>
    <x:xf numFmtId="202" fontId="0" fillId="8" borderId="3" xfId="0" applyNumberFormat="1" applyFont="1" applyFill="1" applyBorder="1"/>
    <x:xf numFmtId="204" fontId="0" fillId="8" borderId="3" xfId="0" applyNumberFormat="1" applyFont="1" applyFill="1" applyBorder="1"/>
    <x:xf numFmtId="205" fontId="0" fillId="8" borderId="3" xfId="0" applyNumberFormat="1" applyFont="1" applyFill="1" applyBorder="1"/>
    <x:xf numFmtId="205" fontId="0" fillId="8" borderId="4" xfId="0" applyNumberFormat="1" applyFont="1" applyFill="1" applyBorder="1"/>
    <x:xf numFmtId="206" fontId="0" fillId="7" borderId="1" xfId="0" applyNumberFormat="1" applyFont="1" applyFill="1" applyBorder="1"/>
    <x:xf numFmtId="206" fontId="0" fillId="8" borderId="2" xfId="0" applyNumberFormat="1" applyFont="1" applyFill="1" applyBorder="1"/>
    <x:xf numFmtId="207" fontId="0" fillId="8" borderId="4" xfId="0" applyNumberFormat="1" applyFont="1" applyFill="1" applyBorder="1"/>
    <x:xf numFmtId="202" fontId="0" fillId="8" borderId="1" xfId="0" applyNumberFormat="1" applyFont="1" applyFill="1" applyBorder="1"/>
    <x:xf numFmtId="204" fontId="0" fillId="8" borderId="1" xfId="0" applyNumberFormat="1" applyFont="1" applyFill="1" applyBorder="1"/>
    <x:xf numFmtId="205" fontId="0" fillId="8" borderId="1" xfId="0" applyNumberFormat="1" applyFont="1" applyFill="1" applyBorder="1"/>
    <x:xf numFmtId="206" fontId="0" fillId="8" borderId="1" xfId="0" applyNumberFormat="1" applyFont="1" applyFill="1" applyBorder="1"/>
    <x:xf numFmtId="207" fontId="0" fillId="8" borderId="1" xfId="0" applyNumberFormat="1" applyFont="1" applyFill="1" applyBorder="1"/>
    <x:xf numFmtId="208" fontId="0" fillId="0" borderId="0" xfId="0" applyNumberFormat="1" applyFont="1" applyFill="1" applyBorder="1"/>
    <x:xf numFmtId="208" fontId="0" fillId="9" borderId="0" xfId="0" applyNumberFormat="1" applyFont="1" applyFill="1" applyBorder="1"/>
    <x:xf numFmtId="202" fontId="0" fillId="9" borderId="0" xfId="0" applyNumberFormat="1" applyFont="1" applyFill="1" applyBorder="1"/>
    <x:xf numFmtId="201" fontId="0" fillId="9" borderId="0" xfId="0" applyNumberFormat="1" applyFont="1" applyFill="1" applyBorder="1"/>
    <x:xf numFmtId="208" fontId="0" fillId="9" borderId="2" xfId="0" applyNumberFormat="1" applyFont="1" applyFill="1" applyBorder="1"/>
    <x:xf numFmtId="202" fontId="0" fillId="9" borderId="3" xfId="0" applyNumberFormat="1" applyFont="1" applyFill="1" applyBorder="1"/>
    <x:xf numFmtId="201" fontId="0" fillId="9" borderId="4" xfId="0" applyNumberFormat="1" applyFont="1" applyFill="1" applyBorder="1"/>
    <x:xf numFmtId="208" fontId="0" fillId="9" borderId="1" xfId="0" applyNumberFormat="1" applyFont="1" applyFill="1" applyBorder="1"/>
    <x:xf numFmtId="202" fontId="0" fillId="9" borderId="1" xfId="0" applyNumberFormat="1" applyFont="1" applyFill="1" applyBorder="1"/>
    <x:xf numFmtId="201" fontId="0" fillId="9" borderId="1" xfId="0" applyNumberFormat="1" applyFont="1" applyFill="1" applyBorder="1"/>
    <x:xf numFmtId="0" fontId="0" fillId="6" borderId="0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/>
    <x:xf numFmtId="203" fontId="0" fillId="9" borderId="0" xfId="0" applyNumberFormat="1" applyFont="1" applyFill="1" applyBorder="1"/>
    <x:xf numFmtId="203" fontId="0" fillId="9" borderId="2" xfId="0" applyNumberFormat="1" applyFont="1" applyFill="1" applyBorder="1"/>
    <x:xf numFmtId="203" fontId="0" fillId="9" borderId="3" xfId="0" applyNumberFormat="1" applyFont="1" applyFill="1" applyBorder="1"/>
    <x:xf numFmtId="201" fontId="0" fillId="9" borderId="3" xfId="0" applyNumberFormat="1" applyFont="1" applyFill="1" applyBorder="1"/>
    <x:xf numFmtId="203" fontId="0" fillId="9" borderId="1" xfId="0" applyNumberFormat="1" applyFont="1" applyFill="1" applyBorder="1"/>
    <x:xf numFmtId="202" fontId="0" fillId="9" borderId="2" xfId="0" applyNumberFormat="1" applyFont="1" applyFill="1" applyBorder="1"/>
    <x:xf numFmtId="202" fontId="0" fillId="9" borderId="4" xfId="0" applyNumberFormat="1" applyFont="1" applyFill="1" applyBorder="1"/>
    <x:xf numFmtId="209" fontId="0" fillId="0" borderId="0" xfId="0" applyNumberFormat="1" applyFont="1" applyFill="1" applyBorder="1"/>
    <x:xf numFmtId="209" fontId="0" fillId="8" borderId="0" xfId="0" applyNumberFormat="1" applyFont="1" applyFill="1" applyBorder="1"/>
    <x:xf numFmtId="209" fontId="0" fillId="8" borderId="2" xfId="0" applyNumberFormat="1" applyFont="1" applyFill="1" applyBorder="1"/>
    <x:xf numFmtId="209" fontId="0" fillId="8" borderId="3" xfId="0" applyNumberFormat="1" applyFont="1" applyFill="1" applyBorder="1"/>
    <x:xf numFmtId="209" fontId="0" fillId="8" borderId="4" xfId="0" applyNumberFormat="1" applyFont="1" applyFill="1" applyBorder="1"/>
    <x:xf numFmtId="202" fontId="0" fillId="9" borderId="5" xfId="0" applyNumberFormat="1" applyFont="1" applyFill="1" applyBorder="1"/>
    <x:xf numFmtId="201" fontId="0" fillId="9" borderId="6" xfId="0" applyNumberFormat="1" applyFont="1" applyFill="1" applyBorder="1"/>
    <x:xf numFmtId="201" fontId="0" fillId="9" borderId="7" xfId="0" applyNumberFormat="1" applyFont="1" applyFill="1" applyBorder="1"/>
    <x:xf numFmtId="202" fontId="0" fillId="9" borderId="8" xfId="0" applyNumberFormat="1" applyFont="1" applyFill="1" applyBorder="1"/>
    <x:xf numFmtId="201" fontId="0" fillId="9" borderId="9" xfId="0" applyNumberFormat="1" applyFont="1" applyFill="1" applyBorder="1"/>
    <x:xf numFmtId="202" fontId="0" fillId="9" borderId="10" xfId="0" applyNumberFormat="1" applyFont="1" applyFill="1" applyBorder="1"/>
    <x:xf numFmtId="201" fontId="0" fillId="9" borderId="11" xfId="0" applyNumberFormat="1" applyFont="1" applyFill="1" applyBorder="1"/>
    <x:xf numFmtId="201" fontId="0" fillId="9" borderId="12" xfId="0" applyNumberFormat="1" applyFont="1" applyFill="1" applyBorder="1"/>
    <x:xf numFmtId="209" fontId="0" fillId="8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10" fontId="0" fillId="0" borderId="0" xfId="0" applyNumberFormat="1" applyFont="1" applyFill="1" applyBorder="1"/>
    <x:xf numFmtId="211" fontId="0" fillId="0" borderId="0" xfId="0" applyNumberFormat="1" applyFont="1" applyFill="1" applyBorder="1"/>
    <x:xf numFmtId="210" fontId="0" fillId="9" borderId="0" xfId="0" applyNumberFormat="1" applyFont="1" applyFill="1" applyBorder="1"/>
    <x:xf numFmtId="211" fontId="0" fillId="9" borderId="0" xfId="0" applyNumberFormat="1" applyFont="1" applyFill="1" applyBorder="1"/>
    <x:xf numFmtId="210" fontId="0" fillId="9" borderId="5" xfId="0" applyNumberFormat="1" applyFont="1" applyFill="1" applyBorder="1"/>
    <x:xf numFmtId="210" fontId="0" fillId="9" borderId="6" xfId="0" applyNumberFormat="1" applyFont="1" applyFill="1" applyBorder="1"/>
    <x:xf numFmtId="210" fontId="0" fillId="9" borderId="7" xfId="0" applyNumberFormat="1" applyFont="1" applyFill="1" applyBorder="1"/>
    <x:xf numFmtId="202" fontId="0" fillId="9" borderId="9" xfId="0" applyNumberFormat="1" applyFont="1" applyFill="1" applyBorder="1"/>
    <x:xf numFmtId="211" fontId="0" fillId="9" borderId="8" xfId="0" applyNumberFormat="1" applyFont="1" applyFill="1" applyBorder="1"/>
    <x:xf numFmtId="211" fontId="0" fillId="9" borderId="9" xfId="0" applyNumberFormat="1" applyFont="1" applyFill="1" applyBorder="1"/>
    <x:xf numFmtId="211" fontId="0" fillId="9" borderId="10" xfId="0" applyNumberFormat="1" applyFont="1" applyFill="1" applyBorder="1"/>
    <x:xf numFmtId="211" fontId="0" fillId="9" borderId="11" xfId="0" applyNumberFormat="1" applyFont="1" applyFill="1" applyBorder="1"/>
    <x:xf numFmtId="211" fontId="0" fillId="9" borderId="12" xfId="0" applyNumberFormat="1" applyFont="1" applyFill="1" applyBorder="1"/>
    <x:xf numFmtId="210" fontId="0" fillId="8" borderId="0" xfId="0" applyNumberFormat="1" applyFont="1" applyFill="1" applyBorder="1"/>
    <x:xf numFmtId="202" fontId="0" fillId="8" borderId="0" xfId="0" applyNumberFormat="1" applyFont="1" applyFill="1" applyBorder="1"/>
    <x:xf numFmtId="211" fontId="0" fillId="8" borderId="0" xfId="0" applyNumberFormat="1" applyFont="1" applyFill="1" applyBorder="1"/>
    <x:xf numFmtId="210" fontId="0" fillId="8" borderId="2" xfId="0" applyNumberFormat="1" applyFont="1" applyFill="1" applyBorder="1"/>
    <x:xf numFmtId="211" fontId="0" fillId="8" borderId="3" xfId="0" applyNumberFormat="1" applyFont="1" applyFill="1" applyBorder="1"/>
    <x:xf numFmtId="211" fontId="0" fillId="8" borderId="4" xfId="0" applyNumberFormat="1" applyFont="1" applyFill="1" applyBorder="1"/>
    <x:xf numFmtId="0" fontId="0" fillId="4" borderId="2" xfId="0" applyNumberFormat="1" applyFont="1" applyFill="1" applyBorder="1"/>
    <x:xf numFmtId="0" fontId="0" fillId="4" borderId="3" xfId="0" applyNumberFormat="1" applyFont="1" applyFill="1" applyBorder="1"/>
    <x:xf numFmtId="0" fontId="0" fillId="4" borderId="4" xfId="0" applyNumberFormat="1" applyFont="1" applyFill="1" applyBorder="1"/>
    <x:xf numFmtId="210" fontId="0" fillId="9" borderId="1" xfId="0" applyNumberFormat="1" applyFont="1" applyFill="1" applyBorder="1"/>
    <x:xf numFmtId="210" fontId="0" fillId="8" borderId="1" xfId="0" applyNumberFormat="1" applyFont="1" applyFill="1" applyBorder="1"/>
    <x:xf numFmtId="211" fontId="0" fillId="9" borderId="1" xfId="0" applyNumberFormat="1" applyFont="1" applyFill="1" applyBorder="1"/>
    <x:xf numFmtId="211" fontId="0" fillId="8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201" fontId="0" fillId="4" borderId="1" xfId="0" applyNumberFormat="1" applyFont="1" applyFill="1" applyBorder="1" applyAlignment="1">
      <x:alignment vertical="center"/>
    </x:xf>
    <x:xf numFmtId="202" fontId="0" fillId="4" borderId="1" xfId="0" applyNumberFormat="1" applyFont="1" applyFill="1" applyBorder="1" applyAlignment="1">
      <x:alignment vertical="center"/>
    </x:xf>
    <x:xf numFmtId="0" fontId="0" fillId="6" borderId="5" xfId="0" applyNumberFormat="1" applyFont="1" applyFill="1" applyBorder="1" applyAlignment="1">
      <x:alignment vertical="center" wrapText="0"/>
    </x:xf>
    <x:xf numFmtId="0" fontId="0" fillId="6" borderId="6" xfId="0" applyNumberFormat="1" applyFont="1" applyFill="1" applyBorder="1" applyAlignment="1">
      <x:alignment vertical="center" wrapText="0"/>
    </x:xf>
    <x:xf numFmtId="0" fontId="0" fillId="6" borderId="7" xfId="0" applyNumberFormat="1" applyFont="1" applyFill="1" applyBorder="1" applyAlignment="1">
      <x:alignment vertical="center" wrapText="0"/>
    </x:xf>
    <x:xf numFmtId="0" fontId="0" fillId="6" borderId="8" xfId="0" applyNumberFormat="1" applyFont="1" applyFill="1" applyBorder="1" applyAlignment="1">
      <x:alignment vertical="center" wrapText="0"/>
    </x:xf>
    <x:xf numFmtId="0" fontId="0" fillId="6" borderId="9" xfId="0" applyNumberFormat="1" applyFont="1" applyFill="1" applyBorder="1" applyAlignment="1">
      <x:alignment vertical="center" wrapText="0"/>
    </x:xf>
    <x:xf numFmtId="0" fontId="0" fillId="6" borderId="10" xfId="0" applyNumberFormat="1" applyFont="1" applyFill="1" applyBorder="1" applyAlignment="1">
      <x:alignment vertical="center" wrapText="0"/>
    </x:xf>
    <x:xf numFmtId="0" fontId="0" fillId="6" borderId="11" xfId="0" applyNumberFormat="1" applyFont="1" applyFill="1" applyBorder="1" applyAlignment="1">
      <x:alignment vertical="center" wrapText="0"/>
    </x:xf>
    <x:xf numFmtId="0" fontId="0" fillId="6" borderId="12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/>
    </x:xf>
    <x:xf numFmtId="0" fontId="0" fillId="7" borderId="1" xfId="0" applyNumberFormat="1" applyFont="1" applyFill="1" applyBorder="1" applyAlignment="1">
      <x:alignment vertical="center"/>
    </x:xf>
    <x:xf numFmtId="0" fontId="0" fillId="8" borderId="1" xfId="0" applyNumberFormat="1" applyFont="1" applyFill="1" applyBorder="1" applyAlignment="1">
      <x:alignment vertical="center"/>
    </x:xf>
    <x:xf numFmtId="0" fontId="0" fillId="9" borderId="1" xfId="0" applyNumberFormat="1" applyFont="1" applyFill="1" applyBorder="1" applyAlignment="1">
      <x:alignment vertical="center"/>
    </x:xf>
    <x:xf numFmtId="203" fontId="0" fillId="7" borderId="1" xfId="0" applyNumberFormat="1" applyFont="1" applyFill="1" applyBorder="1" applyAlignment="1">
      <x:alignment vertical="center"/>
    </x:xf>
    <x:xf numFmtId="202" fontId="0" fillId="8" borderId="1" xfId="0" applyNumberFormat="1" applyFont="1" applyFill="1" applyBorder="1" applyAlignment="1">
      <x:alignment vertical="center"/>
    </x:xf>
    <x:xf numFmtId="204" fontId="0" fillId="8" borderId="1" xfId="0" applyNumberFormat="1" applyFont="1" applyFill="1" applyBorder="1" applyAlignment="1">
      <x:alignment vertical="center"/>
    </x:xf>
    <x:xf numFmtId="205" fontId="0" fillId="8" borderId="1" xfId="0" applyNumberFormat="1" applyFont="1" applyFill="1" applyBorder="1" applyAlignment="1">
      <x:alignment vertical="center"/>
    </x:xf>
    <x:xf numFmtId="206" fontId="0" fillId="7" borderId="1" xfId="0" applyNumberFormat="1" applyFont="1" applyFill="1" applyBorder="1" applyAlignment="1">
      <x:alignment vertical="center"/>
    </x:xf>
    <x:xf numFmtId="206" fontId="0" fillId="8" borderId="1" xfId="0" applyNumberFormat="1" applyFont="1" applyFill="1" applyBorder="1" applyAlignment="1">
      <x:alignment vertical="center"/>
    </x:xf>
    <x:xf numFmtId="207" fontId="0" fillId="8" borderId="1" xfId="0" applyNumberFormat="1" applyFont="1" applyFill="1" applyBorder="1" applyAlignment="1">
      <x:alignment vertical="center"/>
    </x:xf>
    <x:xf numFmtId="208" fontId="0" fillId="9" borderId="1" xfId="0" applyNumberFormat="1" applyFont="1" applyFill="1" applyBorder="1" applyAlignment="1">
      <x:alignment vertical="center"/>
    </x:xf>
    <x:xf numFmtId="202" fontId="0" fillId="9" borderId="1" xfId="0" applyNumberFormat="1" applyFont="1" applyFill="1" applyBorder="1" applyAlignment="1">
      <x:alignment vertical="center"/>
    </x:xf>
    <x:xf numFmtId="201" fontId="0" fillId="9" borderId="1" xfId="0" applyNumberFormat="1" applyFont="1" applyFill="1" applyBorder="1" applyAlignment="1">
      <x:alignment vertical="center"/>
    </x:xf>
    <x:xf numFmtId="203" fontId="0" fillId="9" borderId="1" xfId="0" applyNumberFormat="1" applyFont="1" applyFill="1" applyBorder="1" applyAlignment="1">
      <x:alignment vertical="center"/>
    </x:xf>
    <x:xf numFmtId="209" fontId="0" fillId="8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10" fontId="0" fillId="9" borderId="1" xfId="0" applyNumberFormat="1" applyFont="1" applyFill="1" applyBorder="1" applyAlignment="1">
      <x:alignment vertical="center"/>
    </x:xf>
    <x:xf numFmtId="210" fontId="0" fillId="8" borderId="1" xfId="0" applyNumberFormat="1" applyFont="1" applyFill="1" applyBorder="1" applyAlignment="1">
      <x:alignment vertical="center"/>
    </x:xf>
    <x:xf numFmtId="211" fontId="0" fillId="9" borderId="1" xfId="0" applyNumberFormat="1" applyFont="1" applyFill="1" applyBorder="1" applyAlignment="1">
      <x:alignment vertical="center"/>
    </x:xf>
    <x:xf numFmtId="211" fontId="0" fillId="8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006100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006100"/>
      </x:font>
      <x:fill>
        <x:patternFill>
          <x:bgColor rgb="FFD9EAD3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a35676d0b4b32" /><Relationship Type="http://schemas.openxmlformats.org/officeDocument/2006/relationships/theme" Target="/xl/theme/theme1.xml" Id="R06002173cda34368" /><Relationship Type="http://schemas.openxmlformats.org/officeDocument/2006/relationships/sharedStrings" Target="/xl/sharedStrings.xml" Id="R22323203414b4166" /><Relationship Type="http://schemas.openxmlformats.org/officeDocument/2006/relationships/worksheet" Target="/xl/worksheets/sheet1.xml" Id="R85aafca73c21435b" /><Relationship Type="http://schemas.openxmlformats.org/officeDocument/2006/relationships/worksheet" Target="/xl/worksheets/sheet2.xml" Id="R7e7b8d2684a44a75" /><Relationship Type="http://schemas.openxmlformats.org/officeDocument/2006/relationships/worksheet" Target="/xl/worksheets/sheet3.xml" Id="Rca6e7563facc465f" /><Relationship Type="http://schemas.openxmlformats.org/officeDocument/2006/relationships/worksheet" Target="/xl/worksheets/sheet4.xml" Id="R6ef763feeee04af0" /><Relationship Type="http://schemas.openxmlformats.org/officeDocument/2006/relationships/worksheet" Target="/xl/worksheets/sheet5.xml" Id="Red9357da35334ad7" /><Relationship Type="http://schemas.openxmlformats.org/officeDocument/2006/relationships/worksheet" Target="/xl/worksheets/sheet6.xml" Id="R7244870b5b184bed" /><Relationship Type="http://schemas.openxmlformats.org/officeDocument/2006/relationships/worksheet" Target="/xl/worksheets/sheet7.xml" Id="Ra71ea41870534a53" /><Relationship Type="http://schemas.openxmlformats.org/officeDocument/2006/relationships/worksheet" Target="/xl/worksheets/sheet8.xml" Id="R5dc427ba77014b56" /><Relationship Type="http://schemas.openxmlformats.org/officeDocument/2006/relationships/worksheet" Target="/xl/worksheets/sheet9.xml" Id="R0d3d72c12fc342f0" /><Relationship Type="http://schemas.microsoft.com/office/2017/10/relationships/person" Target="/xl/persons/person.xml" Id="Ra6633828af1040e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82e92481b9949b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USD Proceeds by Settlement Exchange Rate</a:t>
            </a:r>
          </a:p>
        </c:rich>
      </c:tx>
      <c:overlay val="0"/>
    </c:title>
    <c:plotArea>
      <c:scatterChart>
        <c:scatterStyle val="marker"/>
        <c:ser>
          <c:idx val="0"/>
          <c:order val="0"/>
          <c:tx>
            <c:v>Unhedged</c:v>
          </c:tx>
          <c:spPr>
            <a:solidFill xmlns:a="http://schemas.openxmlformats.org/drawingml/2006/main">
              <a:srgbClr val="1F77B4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'Sensitivity'!$C$6:$C$16</c:f>
              <c:numCache>
                <c:formatCode>$0.0,,"m"</c:formatCode>
                <c:ptCount val="0"/>
              </c:numCache>
            </c:numRef>
          </c:yVal>
        </c:ser>
        <c:ser>
          <c:idx val="1"/>
          <c:order val="1"/>
          <c:tx>
            <c:v>Forward</c:v>
          </c:tx>
          <c:spPr>
            <a:solidFill xmlns:a="http://schemas.openxmlformats.org/drawingml/2006/main">
              <a:srgbClr val="ED7D31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'Sensitivity'!$D$6:$D$16</c:f>
              <c:numCache>
                <c:formatCode>$0.0,,"m"</c:formatCode>
                <c:ptCount val="0"/>
              </c:numCache>
            </c:numRef>
          </c:yVal>
        </c:ser>
        <c:ser>
          <c:idx val="2"/>
          <c:order val="2"/>
          <c:tx>
            <c:v>Money Market</c:v>
          </c:tx>
          <c:spPr>
            <a:solidFill xmlns:a="http://schemas.openxmlformats.org/drawingml/2006/main">
              <a:srgbClr val="70AD47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'Sensitivity'!$E$6:$E$16</c:f>
              <c:numCache>
                <c:formatCode>$0.0,,"m"</c:formatCode>
                <c:ptCount val="0"/>
              </c:numCache>
            </c:numRef>
          </c:yVal>
        </c:ser>
        <c:ser>
          <c:idx val="3"/>
          <c:order val="3"/>
          <c:tx>
            <c:v>Put Option</c:v>
          </c:tx>
          <c:spPr>
            <a:solidFill xmlns:a="http://schemas.openxmlformats.org/drawingml/2006/main">
              <a:srgbClr val="00A6D6"/>
            </a:solidFill>
          </c:spPr>
          <c:xVal>
            <c:numLit>
              <c:formatCode>General</c:formatCode>
              <c:ptCount val="0"/>
            </c:numLit>
          </c:xVal>
          <c:yVal>
            <c:numRef>
              <c:f>'Sensitivity'!$F$6:$F$16</c:f>
              <c:numCache>
                <c:formatCode>$0.0,,"m"</c:formatCode>
                <c:ptCount val="0"/>
              </c:numCache>
            </c:numRef>
          </c:yVal>
        </c:ser>
        <c:axId val="48650112"/>
        <c:axId val="48672768"/>
      </c:scatterChart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USD proceeds</a:t>
                </a:r>
              </a:p>
            </c:rich>
          </c:tx>
          <c:overlay val="0"/>
        </c:title>
        <c:numFmt formatCode="$0.0,,&quot;m&quot;"/>
        <c:majorTickMark val="none"/>
        <c:minorTickMark val="none"/>
        <c:crossAx val="48650112"/>
      </c:valAx>
      <c:val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Settlement rate (USD/EUR)</a:t>
                </a:r>
              </a:p>
            </c:rich>
          </c:tx>
          <c:overlay val="0"/>
        </c:title>
        <c:numFmt formatCode="0.00"/>
        <c:majorTickMark val="none"/>
        <c:minorTickMark val="none"/>
        <c:tickLblPos val="nextTo"/>
        <c:crossAx val="48672768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4</xdr:row>
      <xdr:rowOff>0</xdr:rowOff>
    </xdr:from>
    <xdr:to>
      <xdr:col>13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2e92481b9949bc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erek Sheerer" id="{F906C451-FC0D-422E-A947-2AEBBF068C22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7" dT="2026-08-08T06:22:36.987" personId="{F906C451-FC0D-422E-A947-2AEBBF068C22}" id="{F213C308-A492-DFAB-4B0E-AFDF10720A3D}">
    <xltc:text>Source: Stage 2 scenario assignment. Indicative scenario input.</xltc:text>
  </xltc:threadedComment>
  <xltc:threadedComment ref="B8" dT="2026-08-08T06:22:36.987" personId="{F906C451-FC0D-422E-A947-2AEBBF068C22}" id="{8D483B20-670F-0F2E-B9FC-AF1FC3596E74}">
    <xltc:text>Source: Stage 2 specification placeholder; Phase 4 source will be the live spot market.</xltc:text>
  </xltc:threadedComment>
  <xltc:threadedComment ref="B9" dT="2026-08-08T06:22:36.987" personId="{F906C451-FC0D-422E-A947-2AEBBF068C22}" id="{DB53D299-E1D4-2F14-5496-A96EBFE84C06}">
    <xltc:text>Source: Stage 2 specification placeholder revised to the rounded covered-interest-parity implied rate; Phase 4 source will be a live forward quote.</xltc:text>
  </xltc:threadedComment>
  <xltc:threadedComment ref="B10" dT="2026-08-08T06:22:36.987" personId="{F906C451-FC0D-422E-A947-2AEBBF068C22}" id="{4E82EAE5-6A82-1BE1-82ED-EB456B54BC81}">
    <xltc:text>Source: Stage 2 specification placeholder; Phase 4 source will be Federal Reserve H.15.</xltc:text>
  </xltc:threadedComment>
  <xltc:threadedComment ref="B11" dT="2026-08-08T06:22:36.987" personId="{F906C451-FC0D-422E-A947-2AEBBF068C22}" id="{12F81BA0-1F0A-8E3A-3460-F0DADFF6B45E}">
    <xltc:text>Source: Stage 2 specification placeholder; Phase 4 source will be the ECB reference rate.</xltc:text>
  </xltc:threadedComment>
  <xltc:threadedComment ref="B12" dT="2026-08-08T06:22:36.987" personId="{F906C451-FC0D-422E-A947-2AEBBF068C22}" id="{A2B234CC-7D99-A7E0-3938-8BC1346625F7}">
    <xltc:text>Source: Stage 2 specification placeholder; Phase 4 source will be the option market.</xltc:text>
  </xltc:threadedComment>
  <xltc:threadedComment ref="B13" dT="2026-08-08T06:22:36.987" personId="{F906C451-FC0D-422E-A947-2AEBBF068C22}" id="{2C983934-E2D1-252C-E477-70888D0CFBD0}">
    <xltc:text>Source: Stage 2 specification placeholder; Phase 4 source will be the option market.</xltc:text>
  </xltc:threadedComment>
  <xltc:threadedComment ref="B14" dT="2026-08-08T06:22:36.987" personId="{F906C451-FC0D-422E-A947-2AEBBF068C22}" id="{51D1AECC-B360-5CBB-93AE-2EA1B3741181}">
    <xltc:text>Source: Stage 2 specification placeholder; Phase 4 source will be the option market.</xltc:text>
  </xltc:threadedComment>
  <xltc:threadedComment ref="B15" dT="2026-08-08T06:22:36.987" personId="{F906C451-FC0D-422E-A947-2AEBBF068C22}" id="{C17DB93D-98E3-EAEF-03B8-874BB7312424}">
    <xltc:text>Source: Stage 2 specification placeholder; Phase 4 source will be the option market.</xltc:text>
  </xltc:threadedComment>
  <xltc:threadedComment ref="B16" dT="2026-08-08T06:22:36.987" personId="{F906C451-FC0D-422E-A947-2AEBBF068C22}" id="{A9BEA561-B289-92AF-CF55-15466059FD12}">
    <xltc:text>Source: Stage 2 scenario assignment. Indicative scenario input.</xltc:text>
  </xltc:threadedComment>
</xltc:ThreadedComment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1.xml" Id="Re470d53a317846dd" /><Relationship Type="http://schemas.openxmlformats.org/officeDocument/2006/relationships/vmlDrawing" Target="/xl/drawings/vmldrawing.vml" Id="R2f39ddb1fac34628" /><Relationship Type="http://schemas.microsoft.com/office/2017/10/relationships/threadedComment" Target="/xl/threadedcomments/threadedcomment.xml" Id="Rf27144465db145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4fc4e5b4c4434e3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1.600000381469727" hidden="0" customHeight="1">
      <x:c r="A1" s="6" t="str">
        <x:v>EUR Receivable Hedge Model</x:v>
      </x:c>
      <x:c r="B1" s="6"/>
      <x:c r="C1" s="6"/>
      <x:c r="D1" s="6"/>
      <x:c r="E1" s="6"/>
      <x:c r="F1" s="6"/>
      <x:c r="G1" s="6"/>
      <x:c r="H1" s="6"/>
    </x:row>
    <x:row r="2" ht="21.600000381469727" hidden="0" customHeight="1">
      <x:c r="A2" s="9" t="str">
        <x:v>Stage 2 | Forward, money-market, and option strategy comparison</x:v>
      </x:c>
      <x:c r="B2" s="9"/>
      <x:c r="C2" s="9"/>
      <x:c r="D2" s="9"/>
      <x:c r="E2" s="9"/>
      <x:c r="F2" s="9"/>
      <x:c r="G2" s="9"/>
      <x:c r="H2" s="9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142" t="str">
        <x:v>Scenario</x:v>
      </x:c>
      <x:c r="B5" s="141" t="str">
        <x:v>EUR 4,500,000 receivable due in one year</x:v>
      </x:c>
      <x:c r="C5" s="141"/>
      <x:c r="D5" s="141"/>
      <x:c r="E5" s="141"/>
      <x:c r="F5" s="141"/>
      <x:c r="G5" s="141"/>
      <x:c r="H5" s="141"/>
    </x:row>
    <x:row r="6" ht="15" hidden="0" customHeight="1">
      <x:c r="A6" s="142" t="str">
        <x:v>Author</x:v>
      </x:c>
      <x:c r="B6" s="141" t="str">
        <x:v>Derek Sheerer</x:v>
      </x:c>
      <x:c r="C6" s="141"/>
      <x:c r="D6" s="141"/>
      <x:c r="E6" s="141"/>
      <x:c r="F6" s="141"/>
      <x:c r="G6" s="141"/>
      <x:c r="H6" s="141"/>
    </x:row>
    <x:row r="7" ht="15" hidden="0" customHeight="1">
      <x:c r="A7" s="142" t="str">
        <x:v>Model date</x:v>
      </x:c>
      <x:c r="B7" s="143" t="n">
        <x:v>46241</x:v>
      </x:c>
      <x:c r="C7" s="141"/>
      <x:c r="D7" s="141"/>
      <x:c r="E7" s="141"/>
      <x:c r="F7" s="141"/>
      <x:c r="G7" s="141"/>
      <x:c r="H7" s="141"/>
    </x:row>
    <x:row r="8" ht="15" hidden="0" customHeight="1">
      <x:c r="A8" s="142" t="str">
        <x:v>Quote convention</x:v>
      </x:c>
      <x:c r="B8" s="141" t="str">
        <x:v>USD per EUR</x:v>
      </x:c>
      <x:c r="C8" s="141"/>
      <x:c r="D8" s="141"/>
      <x:c r="E8" s="141"/>
      <x:c r="F8" s="141"/>
      <x:c r="G8" s="141"/>
      <x:c r="H8" s="141"/>
    </x:row>
    <x:row r="9" ht="15" hidden="0" customHeight="1">
      <x:c r="A9" s="142" t="str">
        <x:v>Model status</x:v>
      </x:c>
      <x:c r="B9" s="144" t="str">
        <x:f>'Validation Checks'!F15</x:f>
        <x:v>PASS</x:v>
      </x:c>
      <x:c r="C9" s="141"/>
      <x:c r="D9" s="141"/>
      <x:c r="E9" s="141"/>
      <x:c r="F9" s="141"/>
      <x:c r="G9" s="141"/>
      <x:c r="H9" s="141"/>
    </x:row>
    <x:row r="10" ht="15" hidden="0" customHeight="1">
      <x:c r="A10" s="141"/>
      <x:c r="B10" s="141"/>
      <x:c r="C10" s="141"/>
      <x:c r="D10" s="141"/>
      <x:c r="E10" s="141"/>
      <x:c r="F10" s="141"/>
      <x:c r="G10" s="141"/>
      <x:c r="H10" s="141"/>
    </x:row>
    <x:row r="11" ht="15" hidden="0" customHeight="1">
      <x:c r="A11" s="141"/>
      <x:c r="B11" s="141"/>
      <x:c r="C11" s="141"/>
      <x:c r="D11" s="141"/>
      <x:c r="E11" s="141"/>
      <x:c r="F11" s="141"/>
      <x:c r="G11" s="141"/>
      <x:c r="H11" s="141"/>
    </x:row>
    <x:row r="12" ht="15" hidden="0" customHeight="1">
      <x:c r="A12" s="16" t="str">
        <x:v>Executive Summary — Illustrative settlement rate equals S0_in</x:v>
      </x:c>
      <x:c r="B12" s="16"/>
      <x:c r="C12" s="16"/>
      <x:c r="D12" s="16"/>
      <x:c r="E12" s="16"/>
      <x:c r="F12" s="16"/>
      <x:c r="G12" s="16"/>
      <x:c r="H12" s="16"/>
    </x:row>
    <x:row r="13" ht="15" hidden="0" customHeight="1">
      <x:c r="A13" s="141"/>
      <x:c r="B13" s="141"/>
      <x:c r="C13" s="141"/>
      <x:c r="D13" s="141"/>
      <x:c r="E13" s="141"/>
      <x:c r="F13" s="141"/>
      <x:c r="G13" s="141"/>
      <x:c r="H13" s="141"/>
    </x:row>
    <x:row r="14" ht="15" hidden="0" customHeight="1">
      <x:c r="A14" s="20" t="str">
        <x:v>Output</x:v>
      </x:c>
      <x:c r="B14" s="20" t="str">
        <x:v>USD proceeds / rate</x:v>
      </x:c>
      <x:c r="C14" s="141"/>
      <x:c r="D14" s="141"/>
      <x:c r="E14" s="141"/>
      <x:c r="F14" s="141"/>
      <x:c r="G14" s="141"/>
      <x:c r="H14" s="141"/>
    </x:row>
    <x:row r="15" ht="15" hidden="0" customHeight="1">
      <x:c r="A15" s="145" t="str">
        <x:v>Unhedged proceeds</x:v>
      </x:c>
      <x:c r="B15" s="146" t="n">
        <x:f>'Option Hedge'!B8</x:f>
        <x:v>5201550</x:v>
      </x:c>
      <x:c r="C15" s="141"/>
      <x:c r="D15" s="141"/>
      <x:c r="E15" s="141"/>
      <x:c r="F15" s="141"/>
      <x:c r="G15" s="141"/>
      <x:c r="H15" s="141"/>
    </x:row>
    <x:row r="16" ht="15" hidden="0" customHeight="1">
      <x:c r="A16" s="145" t="str">
        <x:v>Forward hedge proceeds</x:v>
      </x:c>
      <x:c r="B16" s="146" t="n">
        <x:f>'Forward Hedge'!B10</x:f>
        <x:v>5275454.819556616</x:v>
      </x:c>
      <x:c r="C16" s="141"/>
      <x:c r="D16" s="141"/>
      <x:c r="E16" s="141"/>
      <x:c r="F16" s="141"/>
      <x:c r="G16" s="141"/>
      <x:c r="H16" s="141"/>
    </x:row>
    <x:row r="17" ht="15" hidden="0" customHeight="1">
      <x:c r="A17" s="145" t="str">
        <x:v>Money-market hedge proceeds</x:v>
      </x:c>
      <x:c r="B17" s="146" t="n">
        <x:f>'Money Market Hedge'!C12</x:f>
        <x:v>5275454.819556616</x:v>
      </x:c>
      <x:c r="C17" s="141"/>
      <x:c r="D17" s="141"/>
      <x:c r="E17" s="141"/>
      <x:c r="F17" s="141"/>
      <x:c r="G17" s="141"/>
      <x:c r="H17" s="141"/>
    </x:row>
    <x:row r="18" ht="15" hidden="0" customHeight="1">
      <x:c r="A18" s="145" t="str">
        <x:v>Put option net proceeds</x:v>
      </x:c>
      <x:c r="B18" s="146" t="n">
        <x:f>'Option Hedge'!B15</x:f>
        <x:v>5066550</x:v>
      </x:c>
      <x:c r="C18" s="141"/>
      <x:c r="D18" s="141"/>
      <x:c r="E18" s="141"/>
      <x:c r="F18" s="141"/>
      <x:c r="G18" s="141"/>
      <x:c r="H18" s="141"/>
    </x:row>
    <x:row r="19" ht="15" hidden="0" customHeight="1">
      <x:c r="A19" s="145" t="str">
        <x:v>Call option net proceeds</x:v>
      </x:c>
      <x:c r="B19" s="146" t="n">
        <x:f>'Option Hedge'!E15</x:f>
        <x:v>5066550</x:v>
      </x:c>
      <x:c r="C19" s="141"/>
      <x:c r="D19" s="141"/>
      <x:c r="E19" s="141"/>
      <x:c r="F19" s="141"/>
      <x:c r="G19" s="141"/>
      <x:c r="H19" s="141"/>
    </x:row>
    <x:row r="20" ht="15" hidden="0" customHeight="1">
      <x:c r="A20" s="145" t="str">
        <x:v>Implied forward rate</x:v>
      </x:c>
      <x:c r="B20" s="147" t="n">
        <x:f>'Validation Checks'!C8</x:f>
        <x:v>1.1723232932348036</x:v>
      </x:c>
      <x:c r="C20" s="141"/>
      <x:c r="D20" s="141"/>
      <x:c r="E20" s="141"/>
      <x:c r="F20" s="141"/>
      <x:c r="G20" s="141"/>
      <x:c r="H20" s="141"/>
    </x:row>
    <x:row r="21" ht="15" hidden="0" customHeight="1">
      <x:c r="A21" s="141"/>
      <x:c r="B21" s="141"/>
      <x:c r="C21" s="141"/>
      <x:c r="D21" s="141"/>
      <x:c r="E21" s="141"/>
      <x:c r="F21" s="141"/>
      <x:c r="G21" s="141"/>
      <x:c r="H21" s="141"/>
    </x:row>
    <x:row r="22" ht="15" hidden="0" customHeight="1">
      <x:c r="A22" s="141"/>
      <x:c r="B22" s="141"/>
      <x:c r="C22" s="141"/>
      <x:c r="D22" s="141"/>
      <x:c r="E22" s="141"/>
      <x:c r="F22" s="141"/>
      <x:c r="G22" s="141"/>
      <x:c r="H22" s="141"/>
    </x:row>
    <x:row r="23" ht="15" hidden="0" customHeight="1">
      <x:c r="A23" s="16" t="str">
        <x:v>Data Provenance</x:v>
      </x:c>
      <x:c r="B23" s="16"/>
      <x:c r="C23" s="16"/>
      <x:c r="D23" s="16"/>
      <x:c r="E23" s="16"/>
      <x:c r="F23" s="16"/>
      <x:c r="G23" s="16"/>
      <x:c r="H23" s="16"/>
    </x:row>
    <x:row r="24" ht="15" hidden="0" customHeight="1">
      <x:c r="A24" s="148" t="str">
        <x:v>All market inputs in this Stage 2 workbook are indicative placeholders taken from the Stage 2 specification; they are not executable market quotes.</x:v>
      </x:c>
      <x:c r="B24" s="149"/>
      <x:c r="C24" s="149"/>
      <x:c r="D24" s="149"/>
      <x:c r="E24" s="149"/>
      <x:c r="F24" s="149"/>
      <x:c r="G24" s="149"/>
      <x:c r="H24" s="150"/>
    </x:row>
    <x:row r="25" ht="15" hidden="0" customHeight="1">
      <x:c r="A25" s="151" t="str">
        <x:v>They will be replaced with live market data during Phase 4. The forward placeholder was revised to 1.13005 USD/EUR to satisfy covered interest rate parity within five-decimal rounding.</x:v>
      </x:c>
      <x:c r="B25" s="91"/>
      <x:c r="C25" s="91"/>
      <x:c r="D25" s="91"/>
      <x:c r="E25" s="91"/>
      <x:c r="F25" s="91"/>
      <x:c r="G25" s="91"/>
      <x:c r="H25" s="152"/>
    </x:row>
    <x:row r="26" ht="15" hidden="0" customHeight="1">
      <x:c r="A26" s="151" t="str">
        <x:v>Phase 4 sources: live spot/forward and option markets, Federal Reserve H.15, ECB reference rates, and the scenario assignment.</x:v>
      </x:c>
      <x:c r="B26" s="91"/>
      <x:c r="C26" s="91"/>
      <x:c r="D26" s="91"/>
      <x:c r="E26" s="91"/>
      <x:c r="F26" s="91"/>
      <x:c r="G26" s="91"/>
      <x:c r="H26" s="152"/>
    </x:row>
    <x:row r="27" ht="15" hidden="0" customHeight="1">
      <x:c r="A27" s="153"/>
      <x:c r="B27" s="154"/>
      <x:c r="C27" s="154"/>
      <x:c r="D27" s="154"/>
      <x:c r="E27" s="154"/>
      <x:c r="F27" s="154"/>
      <x:c r="G27" s="154"/>
      <x:c r="H27" s="155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</x:cols>
  <x:sheetData>
    <x:row r="1" ht="21.600000381469727" hidden="0" customHeight="1">
      <x:c r="A1" s="6" t="str">
        <x:v>Legend / Key</x:v>
      </x:c>
      <x:c r="B1" s="6"/>
      <x:c r="C1" s="6"/>
      <x:c r="D1" s="6"/>
      <x:c r="E1" s="6"/>
      <x:c r="F1" s="6"/>
      <x:c r="G1" s="6"/>
      <x:c r="H1" s="156"/>
    </x:row>
    <x:row r="2" ht="21.600000381469727" hidden="0" customHeight="1">
      <x:c r="A2" s="9" t="str">
        <x:v>Color convention, named-range definitions, and model units</x:v>
      </x:c>
      <x:c r="B2" s="9"/>
      <x:c r="C2" s="9"/>
      <x:c r="D2" s="9"/>
      <x:c r="E2" s="9"/>
      <x:c r="F2" s="9"/>
      <x:c r="G2" s="9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16" t="str">
        <x:v>Required Color Convention</x:v>
      </x:c>
      <x:c r="B5" s="16"/>
      <x:c r="C5" s="16"/>
      <x:c r="D5" s="16"/>
      <x:c r="E5" s="16"/>
      <x:c r="F5" s="16"/>
      <x:c r="G5" s="16"/>
      <x:c r="H5" s="141"/>
    </x:row>
    <x:row r="6" ht="15" hidden="0" customHeight="1">
      <x:c r="A6" s="141"/>
      <x:c r="B6" s="141"/>
      <x:c r="C6" s="141"/>
      <x:c r="D6" s="141"/>
      <x:c r="E6" s="141"/>
      <x:c r="F6" s="141"/>
      <x:c r="G6" s="141"/>
      <x:c r="H6" s="141"/>
    </x:row>
    <x:row r="7" ht="15" hidden="0" customHeight="1">
      <x:c r="A7" s="20" t="str">
        <x:v>Color</x:v>
      </x:c>
      <x:c r="B7" s="20" t="str">
        <x:v>Meaning</x:v>
      </x:c>
      <x:c r="C7" s="20" t="str">
        <x:v>Use</x:v>
      </x:c>
      <x:c r="D7" s="141"/>
      <x:c r="E7" s="141"/>
      <x:c r="F7" s="141"/>
      <x:c r="G7" s="141"/>
      <x:c r="H7" s="141"/>
    </x:row>
    <x:row r="8" ht="15" hidden="0" customHeight="1">
      <x:c r="A8" s="157" t="str">
        <x:v>Yellow</x:v>
      </x:c>
      <x:c r="B8" s="145" t="str">
        <x:v>Inputs</x:v>
      </x:c>
      <x:c r="C8" s="145" t="str">
        <x:v>Scenario values entered directly</x:v>
      </x:c>
      <x:c r="D8" s="141"/>
      <x:c r="E8" s="141"/>
      <x:c r="F8" s="141"/>
      <x:c r="G8" s="141"/>
      <x:c r="H8" s="141"/>
    </x:row>
    <x:row r="9" ht="15" hidden="0" customHeight="1">
      <x:c r="A9" s="158" t="str">
        <x:v>Blue</x:v>
      </x:c>
      <x:c r="B9" s="145" t="str">
        <x:v>Assumptions</x:v>
      </x:c>
      <x:c r="C9" s="145" t="str">
        <x:v>Market assumptions, rates, strikes, premiums, controls</x:v>
      </x:c>
      <x:c r="D9" s="141"/>
      <x:c r="E9" s="141"/>
      <x:c r="F9" s="141"/>
      <x:c r="G9" s="141"/>
      <x:c r="H9" s="141"/>
    </x:row>
    <x:row r="10" ht="15" hidden="0" customHeight="1">
      <x:c r="A10" s="159" t="str">
        <x:v>Green</x:v>
      </x:c>
      <x:c r="B10" s="145" t="str">
        <x:v>Formulas</x:v>
      </x:c>
      <x:c r="C10" s="145" t="str">
        <x:v>Intermediate calculations and linked calculations</x:v>
      </x:c>
      <x:c r="D10" s="141"/>
      <x:c r="E10" s="141"/>
      <x:c r="F10" s="141"/>
      <x:c r="G10" s="141"/>
      <x:c r="H10" s="141"/>
    </x:row>
    <x:row r="11" ht="15" hidden="0" customHeight="1">
      <x:c r="A11" s="144" t="str">
        <x:v>Gray</x:v>
      </x:c>
      <x:c r="B11" s="145" t="str">
        <x:v>Outputs</x:v>
      </x:c>
      <x:c r="C11" s="145" t="str">
        <x:v>Final results, executive-summary values, and statuses</x:v>
      </x:c>
      <x:c r="D11" s="141"/>
      <x:c r="E11" s="141"/>
      <x:c r="F11" s="141"/>
      <x:c r="G11" s="141"/>
      <x:c r="H11" s="141"/>
    </x:row>
    <x:row r="12" ht="15" hidden="0" customHeight="1">
      <x:c r="A12" s="141"/>
      <x:c r="B12" s="141"/>
      <x:c r="C12" s="141"/>
      <x:c r="D12" s="141"/>
      <x:c r="E12" s="141"/>
      <x:c r="F12" s="141"/>
      <x:c r="G12" s="141"/>
      <x:c r="H12" s="141"/>
    </x:row>
    <x:row r="13" ht="15" hidden="0" customHeight="1">
      <x:c r="A13" s="141"/>
      <x:c r="B13" s="141"/>
      <x:c r="C13" s="141"/>
      <x:c r="D13" s="141"/>
      <x:c r="E13" s="141"/>
      <x:c r="F13" s="141"/>
      <x:c r="G13" s="141"/>
      <x:c r="H13" s="141"/>
    </x:row>
    <x:row r="14" ht="15" hidden="0" customHeight="1">
      <x:c r="A14" s="16" t="str">
        <x:v>Named-Range Contract — exactly ten workbook names</x:v>
      </x:c>
      <x:c r="B14" s="16"/>
      <x:c r="C14" s="16"/>
      <x:c r="D14" s="16"/>
      <x:c r="E14" s="16"/>
      <x:c r="F14" s="16"/>
      <x:c r="G14" s="16"/>
      <x:c r="H14" s="141"/>
    </x:row>
    <x:row r="15" ht="15" hidden="0" customHeight="1">
      <x:c r="A15" s="141"/>
      <x:c r="B15" s="141"/>
      <x:c r="C15" s="141"/>
      <x:c r="D15" s="141"/>
      <x:c r="E15" s="141"/>
      <x:c r="F15" s="141"/>
      <x:c r="G15" s="141"/>
      <x:c r="H15" s="141"/>
    </x:row>
    <x:row r="16" ht="15" hidden="0" customHeight="1">
      <x:c r="A16" s="20" t="str">
        <x:v>Named range</x:v>
      </x:c>
      <x:c r="B16" s="20" t="str">
        <x:v>Definition</x:v>
      </x:c>
      <x:c r="C16" s="20" t="str">
        <x:v>Unit</x:v>
      </x:c>
      <x:c r="D16" s="20" t="str">
        <x:v>Role</x:v>
      </x:c>
      <x:c r="E16" s="141"/>
      <x:c r="F16" s="141"/>
      <x:c r="G16" s="141"/>
      <x:c r="H16" s="141"/>
    </x:row>
    <x:row r="17" ht="15" hidden="0" customHeight="1">
      <x:c r="A17" s="145" t="str">
        <x:v>FC_AMT</x:v>
      </x:c>
      <x:c r="B17" s="145" t="str">
        <x:v>Foreign-currency receivable amount</x:v>
      </x:c>
      <x:c r="C17" s="145" t="str">
        <x:v>EUR</x:v>
      </x:c>
      <x:c r="D17" s="145" t="str">
        <x:v>Input</x:v>
      </x:c>
      <x:c r="E17" s="141"/>
      <x:c r="F17" s="141"/>
      <x:c r="G17" s="141"/>
      <x:c r="H17" s="141"/>
    </x:row>
    <x:row r="18" ht="15" hidden="0" customHeight="1">
      <x:c r="A18" s="145" t="str">
        <x:v>S0_in</x:v>
      </x:c>
      <x:c r="B18" s="145" t="str">
        <x:v>Current spot exchange rate</x:v>
      </x:c>
      <x:c r="C18" s="145" t="str">
        <x:v>USD/EUR</x:v>
      </x:c>
      <x:c r="D18" s="145" t="str">
        <x:v>Assumption</x:v>
      </x:c>
      <x:c r="E18" s="141"/>
      <x:c r="F18" s="141"/>
      <x:c r="G18" s="141"/>
      <x:c r="H18" s="141"/>
    </x:row>
    <x:row r="19" ht="15" hidden="0" customHeight="1">
      <x:c r="A19" s="145" t="str">
        <x:v>F0_in</x:v>
      </x:c>
      <x:c r="B19" s="145" t="str">
        <x:v>One-year forward rate</x:v>
      </x:c>
      <x:c r="C19" s="145" t="str">
        <x:v>USD/EUR</x:v>
      </x:c>
      <x:c r="D19" s="145" t="str">
        <x:v>Assumption</x:v>
      </x:c>
      <x:c r="E19" s="141"/>
      <x:c r="F19" s="141"/>
      <x:c r="G19" s="141"/>
      <x:c r="H19" s="141"/>
    </x:row>
    <x:row r="20" ht="15" hidden="0" customHeight="1">
      <x:c r="A20" s="145" t="str">
        <x:v>R_USD</x:v>
      </x:c>
      <x:c r="B20" s="145" t="str">
        <x:v>USD annual interest rate</x:v>
      </x:c>
      <x:c r="C20" s="145" t="str">
        <x:v>ACT/360 annual %</x:v>
      </x:c>
      <x:c r="D20" s="145" t="str">
        <x:v>Assumption</x:v>
      </x:c>
      <x:c r="E20" s="141"/>
      <x:c r="F20" s="141"/>
      <x:c r="G20" s="141"/>
      <x:c r="H20" s="141"/>
    </x:row>
    <x:row r="21" ht="15" hidden="0" customHeight="1">
      <x:c r="A21" s="145" t="str">
        <x:v>R_FC</x:v>
      </x:c>
      <x:c r="B21" s="145" t="str">
        <x:v>EUR annual interest rate</x:v>
      </x:c>
      <x:c r="C21" s="145" t="str">
        <x:v>ACT/360 annual %</x:v>
      </x:c>
      <x:c r="D21" s="145" t="str">
        <x:v>Assumption</x:v>
      </x:c>
      <x:c r="E21" s="141"/>
      <x:c r="F21" s="141"/>
      <x:c r="G21" s="141"/>
      <x:c r="H21" s="141"/>
    </x:row>
    <x:row r="22" ht="15" hidden="0" customHeight="1">
      <x:c r="A22" s="145" t="str">
        <x:v>K_PUT</x:v>
      </x:c>
      <x:c r="B22" s="145" t="str">
        <x:v>EUR put strike</x:v>
      </x:c>
      <x:c r="C22" s="145" t="str">
        <x:v>USD/EUR</x:v>
      </x:c>
      <x:c r="D22" s="145" t="str">
        <x:v>Assumption</x:v>
      </x:c>
      <x:c r="E22" s="141"/>
      <x:c r="F22" s="141"/>
      <x:c r="G22" s="141"/>
      <x:c r="H22" s="141"/>
    </x:row>
    <x:row r="23" ht="15" hidden="0" customHeight="1">
      <x:c r="A23" s="145" t="str">
        <x:v>K_CALL</x:v>
      </x:c>
      <x:c r="B23" s="145" t="str">
        <x:v>EUR call strike</x:v>
      </x:c>
      <x:c r="C23" s="145" t="str">
        <x:v>USD/EUR</x:v>
      </x:c>
      <x:c r="D23" s="145" t="str">
        <x:v>Assumption</x:v>
      </x:c>
      <x:c r="E23" s="141"/>
      <x:c r="F23" s="141"/>
      <x:c r="G23" s="141"/>
      <x:c r="H23" s="141"/>
    </x:row>
    <x:row r="24" ht="15" hidden="0" customHeight="1">
      <x:c r="A24" s="145" t="str">
        <x:v>PREM_PUT</x:v>
      </x:c>
      <x:c r="B24" s="145" t="str">
        <x:v>Put premium</x:v>
      </x:c>
      <x:c r="C24" s="145" t="str">
        <x:v>USD per EUR</x:v>
      </x:c>
      <x:c r="D24" s="145" t="str">
        <x:v>Assumption</x:v>
      </x:c>
      <x:c r="E24" s="141"/>
      <x:c r="F24" s="141"/>
      <x:c r="G24" s="141"/>
      <x:c r="H24" s="141"/>
    </x:row>
    <x:row r="25" ht="15" hidden="0" customHeight="1">
      <x:c r="A25" s="145" t="str">
        <x:v>PREM_CALL</x:v>
      </x:c>
      <x:c r="B25" s="145" t="str">
        <x:v>Call premium</x:v>
      </x:c>
      <x:c r="C25" s="145" t="str">
        <x:v>USD per EUR</x:v>
      </x:c>
      <x:c r="D25" s="145" t="str">
        <x:v>Assumption</x:v>
      </x:c>
      <x:c r="E25" s="141"/>
      <x:c r="F25" s="141"/>
      <x:c r="G25" s="141"/>
      <x:c r="H25" s="141"/>
    </x:row>
    <x:row r="26" ht="15" hidden="0" customHeight="1">
      <x:c r="A26" s="145" t="str">
        <x:v>T_DAYS</x:v>
      </x:c>
      <x:c r="B26" s="145" t="str">
        <x:v>Time to settlement</x:v>
      </x:c>
      <x:c r="C26" s="145" t="str">
        <x:v>Days</x:v>
      </x:c>
      <x:c r="D26" s="145" t="str">
        <x:v>Input</x:v>
      </x:c>
      <x:c r="E26" s="141"/>
      <x:c r="F26" s="141"/>
      <x:c r="G26" s="141"/>
      <x:c r="H26" s="14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7" hidden="0" customWidth="1"/>
    <x:col min="3" max="3" width="23" hidden="0" customWidth="1"/>
    <x:col min="4" max="4" width="25" hidden="0" customWidth="1"/>
    <x:col min="5" max="5" width="34" hidden="0" customWidth="1"/>
  </x:cols>
  <x:sheetData>
    <x:row r="1" ht="21.600000381469727" hidden="0" customHeight="1">
      <x:c r="A1" s="6" t="str">
        <x:v>Inputs</x:v>
      </x:c>
      <x:c r="B1" s="6"/>
      <x:c r="C1" s="6"/>
      <x:c r="D1" s="6"/>
      <x:c r="E1" s="6"/>
      <x:c r="F1" s="156"/>
      <x:c r="G1" s="156"/>
      <x:c r="H1" s="156"/>
    </x:row>
    <x:row r="2" ht="21.600000381469727" hidden="0" customHeight="1">
      <x:c r="A2" s="9" t="str">
        <x:v>Editable Stage 2 scenario inputs and indicative market assumptions</x:v>
      </x:c>
      <x:c r="B2" s="9"/>
      <x:c r="C2" s="9"/>
      <x:c r="D2" s="9"/>
      <x:c r="E2" s="9"/>
      <x:c r="F2" s="141"/>
      <x:c r="G2" s="141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20" t="str">
        <x:v>Named range / control</x:v>
      </x:c>
      <x:c r="B5" s="20" t="str">
        <x:v>Value</x:v>
      </x:c>
      <x:c r="C5" s="20" t="str">
        <x:v>Unit</x:v>
      </x:c>
      <x:c r="D5" s="20" t="str">
        <x:v>Phase 4 source</x:v>
      </x:c>
      <x:c r="E5" s="20" t="str">
        <x:v>Notes</x:v>
      </x:c>
      <x:c r="F5" s="141"/>
      <x:c r="G5" s="141"/>
      <x:c r="H5" s="141"/>
    </x:row>
    <x:row r="6" ht="15" hidden="0" customHeight="1">
      <x:c r="A6" s="145"/>
      <x:c r="B6" s="145"/>
      <x:c r="C6" s="145"/>
      <x:c r="D6" s="145"/>
      <x:c r="E6" s="145"/>
      <x:c r="F6" s="141"/>
      <x:c r="G6" s="141"/>
      <x:c r="H6" s="141"/>
    </x:row>
    <x:row r="7" ht="15" hidden="0" customHeight="1">
      <x:c r="A7" s="145" t="str">
        <x:v>FC_AMT</x:v>
      </x:c>
      <x:c r="B7" s="160" t="n">
        <x:v>4500000</x:v>
      </x:c>
      <x:c r="C7" s="145" t="str">
        <x:v>EUR</x:v>
      </x:c>
      <x:c r="D7" s="145" t="str">
        <x:v>Scenario assignment</x:v>
      </x:c>
      <x:c r="E7" s="145" t="str">
        <x:v>Expected receivable</x:v>
      </x:c>
      <x:c r="F7" s="141"/>
      <x:c r="G7" s="141"/>
      <x:c r="H7" s="141"/>
    </x:row>
    <x:row r="8" ht="15" hidden="0" customHeight="1">
      <x:c r="A8" s="145" t="str">
        <x:v>S0_in</x:v>
      </x:c>
      <x:c r="B8" s="161" t="n">
        <x:v>1.1559</x:v>
      </x:c>
      <x:c r="C8" s="145" t="str">
        <x:v>USD/EUR</x:v>
      </x:c>
      <x:c r="D8" s="145" t="str">
        <x:v>Live spot market</x:v>
      </x:c>
      <x:c r="E8" s="145" t="str">
        <x:v>Indicative placeholder</x:v>
      </x:c>
      <x:c r="F8" s="141"/>
      <x:c r="G8" s="141"/>
      <x:c r="H8" s="141"/>
    </x:row>
    <x:row r="9" ht="15" hidden="0" customHeight="1">
      <x:c r="A9" s="145" t="str">
        <x:v>F0_in</x:v>
      </x:c>
      <x:c r="B9" s="161" t="n">
        <x:v>1.1723232932348036</x:v>
      </x:c>
      <x:c r="C9" s="145" t="str">
        <x:v>USD/EUR</x:v>
      </x:c>
      <x:c r="D9" s="145" t="str">
        <x:v>Live forward quote</x:v>
      </x:c>
      <x:c r="E9" s="145" t="str">
        <x:v>Revised to rounded parity-implied rate</x:v>
      </x:c>
      <x:c r="F9" s="141"/>
      <x:c r="G9" s="141"/>
      <x:c r="H9" s="141"/>
    </x:row>
    <x:row r="10" ht="15" hidden="0" customHeight="1">
      <x:c r="A10" s="145" t="str">
        <x:v>R_USD</x:v>
      </x:c>
      <x:c r="B10" s="162" t="n">
        <x:v>0.0401</x:v>
      </x:c>
      <x:c r="C10" s="145" t="str">
        <x:v>Annual % (ACT/360)</x:v>
      </x:c>
      <x:c r="D10" s="145" t="str">
        <x:v>Federal Reserve H.15</x:v>
      </x:c>
      <x:c r="E10" s="145" t="str">
        <x:v>Indicative placeholder</x:v>
      </x:c>
      <x:c r="F10" s="141"/>
      <x:c r="G10" s="141"/>
      <x:c r="H10" s="141"/>
    </x:row>
    <x:row r="11" ht="15" hidden="0" customHeight="1">
      <x:c r="A11" s="145" t="str">
        <x:v>R_FC</x:v>
      </x:c>
      <x:c r="B11" s="162" t="n">
        <x:v>0.025529047267</x:v>
      </x:c>
      <x:c r="C11" s="145" t="str">
        <x:v>Annual % (ACT/360)</x:v>
      </x:c>
      <x:c r="D11" s="145" t="str">
        <x:v>ECB reference rate</x:v>
      </x:c>
      <x:c r="E11" s="145" t="str">
        <x:v>Indicative placeholder</x:v>
      </x:c>
      <x:c r="F11" s="141"/>
      <x:c r="G11" s="141"/>
      <x:c r="H11" s="141"/>
    </x:row>
    <x:row r="12" ht="15" hidden="0" customHeight="1">
      <x:c r="A12" s="145" t="str">
        <x:v>K_PUT</x:v>
      </x:c>
      <x:c r="B12" s="161" t="n">
        <x:v>1.1559</x:v>
      </x:c>
      <x:c r="C12" s="145" t="str">
        <x:v>USD/EUR</x:v>
      </x:c>
      <x:c r="D12" s="145" t="str">
        <x:v>Option market</x:v>
      </x:c>
      <x:c r="E12" s="145" t="str">
        <x:v>Indicative placeholder</x:v>
      </x:c>
      <x:c r="F12" s="141"/>
      <x:c r="G12" s="141"/>
      <x:c r="H12" s="141"/>
    </x:row>
    <x:row r="13" ht="15" hidden="0" customHeight="1">
      <x:c r="A13" s="145" t="str">
        <x:v>K_CALL</x:v>
      </x:c>
      <x:c r="B13" s="161" t="n">
        <x:v>1.1559</x:v>
      </x:c>
      <x:c r="C13" s="145" t="str">
        <x:v>USD/EUR</x:v>
      </x:c>
      <x:c r="D13" s="145" t="str">
        <x:v>Option market</x:v>
      </x:c>
      <x:c r="E13" s="145" t="str">
        <x:v>Indicative placeholder</x:v>
      </x:c>
      <x:c r="F13" s="141"/>
      <x:c r="G13" s="141"/>
      <x:c r="H13" s="141"/>
    </x:row>
    <x:row r="14" ht="15" hidden="0" customHeight="1">
      <x:c r="A14" s="145" t="str">
        <x:v>PREM_PUT</x:v>
      </x:c>
      <x:c r="B14" s="163" t="n">
        <x:v>0.03</x:v>
      </x:c>
      <x:c r="C14" s="145" t="str">
        <x:v>USD per EUR</x:v>
      </x:c>
      <x:c r="D14" s="145" t="str">
        <x:v>Option market</x:v>
      </x:c>
      <x:c r="E14" s="145" t="str">
        <x:v>Paid upfront</x:v>
      </x:c>
      <x:c r="F14" s="141"/>
      <x:c r="G14" s="141"/>
      <x:c r="H14" s="141"/>
    </x:row>
    <x:row r="15" ht="15" hidden="0" customHeight="1">
      <x:c r="A15" s="145" t="str">
        <x:v>PREM_CALL</x:v>
      </x:c>
      <x:c r="B15" s="163" t="n">
        <x:v>0.03</x:v>
      </x:c>
      <x:c r="C15" s="145" t="str">
        <x:v>USD per EUR</x:v>
      </x:c>
      <x:c r="D15" s="145" t="str">
        <x:v>Option market</x:v>
      </x:c>
      <x:c r="E15" s="145" t="str">
        <x:v>Paid upfront</x:v>
      </x:c>
      <x:c r="F15" s="141"/>
      <x:c r="G15" s="141"/>
      <x:c r="H15" s="141"/>
    </x:row>
    <x:row r="16" ht="15" hidden="0" customHeight="1">
      <x:c r="A16" s="145" t="str">
        <x:v>T_DAYS</x:v>
      </x:c>
      <x:c r="B16" s="164" t="n">
        <x:v>360</x:v>
      </x:c>
      <x:c r="C16" s="145" t="str">
        <x:v>Days</x:v>
      </x:c>
      <x:c r="D16" s="145" t="str">
        <x:v>Scenario assignment</x:v>
      </x:c>
      <x:c r="E16" s="145" t="str">
        <x:v>One-year settlement</x:v>
      </x:c>
      <x:c r="F16" s="141"/>
      <x:c r="G16" s="141"/>
      <x:c r="H16" s="141"/>
    </x:row>
    <x:row r="17" ht="15" hidden="0" customHeight="1">
      <x:c r="A17" s="141"/>
      <x:c r="B17" s="141"/>
      <x:c r="C17" s="141"/>
      <x:c r="D17" s="141"/>
      <x:c r="E17" s="141"/>
      <x:c r="F17" s="141"/>
      <x:c r="G17" s="141"/>
      <x:c r="H17" s="141"/>
    </x:row>
    <x:row r="18" ht="15" hidden="0" customHeight="1">
      <x:c r="A18" s="16" t="str">
        <x:v>Model Controls (not additional named ranges)</x:v>
      </x:c>
      <x:c r="B18" s="16"/>
      <x:c r="C18" s="16"/>
      <x:c r="D18" s="16"/>
      <x:c r="E18" s="16"/>
      <x:c r="F18" s="141"/>
      <x:c r="G18" s="141"/>
      <x:c r="H18" s="141"/>
    </x:row>
    <x:row r="19" ht="15" hidden="0" customHeight="1">
      <x:c r="A19" s="145" t="str">
        <x:v>ACT/360 basis</x:v>
      </x:c>
      <x:c r="B19" s="165" t="n">
        <x:v>360</x:v>
      </x:c>
      <x:c r="C19" s="145" t="str">
        <x:v>Days</x:v>
      </x:c>
      <x:c r="D19" s="145" t="str">
        <x:v>Model convention</x:v>
      </x:c>
      <x:c r="E19" s="145" t="str">
        <x:v>Fixed day-count denominator</x:v>
      </x:c>
      <x:c r="F19" s="141"/>
      <x:c r="G19" s="141"/>
      <x:c r="H19" s="141"/>
    </x:row>
    <x:row r="20" ht="15" hidden="0" customHeight="1">
      <x:c r="A20" s="145" t="str">
        <x:v>Rate-check tolerance</x:v>
      </x:c>
      <x:c r="B20" s="161" t="n">
        <x:v>0.00001</x:v>
      </x:c>
      <x:c r="C20" s="145" t="str">
        <x:v>USD/EUR</x:v>
      </x:c>
      <x:c r="D20" s="145" t="str">
        <x:v>Validation control</x:v>
      </x:c>
      <x:c r="E20" s="145" t="str">
        <x:v>Five-decimal forward rounding</x:v>
      </x:c>
      <x:c r="F20" s="141"/>
      <x:c r="G20" s="141"/>
      <x:c r="H20" s="141"/>
    </x:row>
    <x:row r="21" ht="15" hidden="0" customHeight="1">
      <x:c r="A21" s="145" t="str">
        <x:v>Proceeds-check tolerance</x:v>
      </x:c>
      <x:c r="B21" s="166" t="n">
        <x:v>10</x:v>
      </x:c>
      <x:c r="C21" s="145" t="str">
        <x:v>USD</x:v>
      </x:c>
      <x:c r="D21" s="145" t="str">
        <x:v>Validation control</x:v>
      </x:c>
      <x:c r="E21" s="145" t="str">
        <x:v>Normal whole-dollar rounding</x:v>
      </x:c>
      <x:c r="F21" s="141"/>
      <x:c r="G21" s="141"/>
      <x:c r="H21" s="141"/>
    </x:row>
  </x:sheetData>
  <x:pageMargins left="0.7" right="0.7" top="0.75" bottom="0.75" header="0.3" footer="0.3"/>
  <x:legacyDrawing xmlns:r="http://schemas.openxmlformats.org/officeDocument/2006/relationships" r:id="R2f39ddb1fac34628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4" hidden="0" customWidth="1"/>
  </x:cols>
  <x:sheetData>
    <x:row r="1" ht="21.600000381469727" hidden="0" customHeight="1">
      <x:c r="A1" s="6" t="str">
        <x:v>Forward Hedge</x:v>
      </x:c>
      <x:c r="B1" s="6"/>
      <x:c r="C1" s="6"/>
      <x:c r="D1" s="6"/>
      <x:c r="E1" s="156"/>
      <x:c r="F1" s="156"/>
      <x:c r="G1" s="156"/>
      <x:c r="H1" s="156"/>
    </x:row>
    <x:row r="2" ht="21.600000381469727" hidden="0" customHeight="1">
      <x:c r="A2" s="9" t="str">
        <x:v>Locks USD proceeds at the contracted forward rate with no upfront premium</x:v>
      </x:c>
      <x:c r="B2" s="9"/>
      <x:c r="C2" s="9"/>
      <x:c r="D2" s="9"/>
      <x:c r="E2" s="141"/>
      <x:c r="F2" s="141"/>
      <x:c r="G2" s="141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20" t="str">
        <x:v>Calculation</x:v>
      </x:c>
      <x:c r="B5" s="20" t="str">
        <x:v>Value</x:v>
      </x:c>
      <x:c r="C5" s="20" t="str">
        <x:v>Unit</x:v>
      </x:c>
      <x:c r="D5" s="141"/>
      <x:c r="E5" s="141"/>
      <x:c r="F5" s="141"/>
      <x:c r="G5" s="141"/>
      <x:c r="H5" s="141"/>
    </x:row>
    <x:row r="6" ht="15" hidden="0" customHeight="1">
      <x:c r="A6" s="145"/>
      <x:c r="B6" s="145"/>
      <x:c r="C6" s="145"/>
      <x:c r="D6" s="141"/>
      <x:c r="E6" s="141"/>
      <x:c r="F6" s="141"/>
      <x:c r="G6" s="141"/>
      <x:c r="H6" s="141"/>
    </x:row>
    <x:row r="7" ht="15" hidden="0" customHeight="1">
      <x:c r="A7" s="145" t="str">
        <x:v>EUR receivable</x:v>
      </x:c>
      <x:c r="B7" s="167" t="n">
        <x:f>FC_AMT</x:f>
        <x:v>4500000</x:v>
      </x:c>
      <x:c r="C7" s="145" t="str">
        <x:v>EUR</x:v>
      </x:c>
      <x:c r="D7" s="141"/>
      <x:c r="E7" s="141"/>
      <x:c r="F7" s="141"/>
      <x:c r="G7" s="141"/>
      <x:c r="H7" s="141"/>
    </x:row>
    <x:row r="8" ht="15" hidden="0" customHeight="1">
      <x:c r="A8" s="145" t="str">
        <x:v>Forward rate</x:v>
      </x:c>
      <x:c r="B8" s="168" t="n">
        <x:f>F0_in</x:f>
        <x:v>1.1723232932348036</x:v>
      </x:c>
      <x:c r="C8" s="145" t="str">
        <x:v>USD/EUR</x:v>
      </x:c>
      <x:c r="D8" s="141"/>
      <x:c r="E8" s="141"/>
      <x:c r="F8" s="141"/>
      <x:c r="G8" s="141"/>
      <x:c r="H8" s="141"/>
    </x:row>
    <x:row r="9" ht="15" hidden="0" customHeight="1">
      <x:c r="A9" s="145" t="str">
        <x:v>Upfront premium</x:v>
      </x:c>
      <x:c r="B9" s="169" t="n">
        <x:f>0*FC_AMT</x:f>
        <x:v>0</x:v>
      </x:c>
      <x:c r="C9" s="145" t="str">
        <x:v>USD</x:v>
      </x:c>
      <x:c r="D9" s="141"/>
      <x:c r="E9" s="141"/>
      <x:c r="F9" s="141"/>
      <x:c r="G9" s="141"/>
      <x:c r="H9" s="141"/>
    </x:row>
    <x:row r="10" ht="15" hidden="0" customHeight="1">
      <x:c r="A10" s="145" t="str">
        <x:v>Locked USD proceeds</x:v>
      </x:c>
      <x:c r="B10" s="146" t="n">
        <x:f>FC_AMT*F0_in</x:f>
        <x:v>5275454.819556616</x:v>
      </x:c>
      <x:c r="C10" s="145" t="str">
        <x:v>USD</x:v>
      </x:c>
      <x:c r="D10" s="141"/>
      <x:c r="E10" s="141"/>
      <x:c r="F10" s="141"/>
      <x:c r="G10" s="141"/>
      <x:c r="H10" s="141"/>
    </x:row>
    <x:row r="11" ht="15" hidden="0" customHeight="1">
      <x:c r="A11" s="141"/>
      <x:c r="B11" s="141"/>
      <x:c r="C11" s="141"/>
      <x:c r="D11" s="141"/>
      <x:c r="E11" s="141"/>
      <x:c r="F11" s="141"/>
      <x:c r="G11" s="141"/>
      <x:c r="H11" s="141"/>
    </x:row>
    <x:row r="12" ht="15" hidden="0" customHeight="1">
      <x:c r="A12" s="141"/>
      <x:c r="B12" s="141"/>
      <x:c r="C12" s="141"/>
      <x:c r="D12" s="141"/>
      <x:c r="E12" s="141"/>
      <x:c r="F12" s="141"/>
      <x:c r="G12" s="141"/>
      <x:c r="H12" s="141"/>
    </x:row>
    <x:row r="13" ht="15" hidden="0" customHeight="1">
      <x:c r="A13" s="91" t="str">
        <x:v>Formula: USD proceeds = FC_AMT × F0_in.</x:v>
      </x:c>
      <x:c r="B13" s="91"/>
      <x:c r="C13" s="91"/>
      <x:c r="D13" s="91"/>
      <x:c r="E13" s="141"/>
      <x:c r="F13" s="141"/>
      <x:c r="G13" s="141"/>
      <x:c r="H13" s="141"/>
    </x:row>
    <x:row r="14" ht="15" hidden="0" customHeight="1">
      <x:c r="A14" s="91" t="str">
        <x:v>The settlement spot rate does not affect the locked proceeds.</x:v>
      </x:c>
      <x:c r="B14" s="91"/>
      <x:c r="C14" s="91"/>
      <x:c r="D14" s="91"/>
      <x:c r="E14" s="141"/>
      <x:c r="F14" s="141"/>
      <x:c r="G14" s="141"/>
      <x:c r="H14" s="141"/>
    </x:row>
    <x:row r="15" ht="15" hidden="0" customHeight="1">
      <x:c r="A15" s="91"/>
      <x:c r="B15" s="91"/>
      <x:c r="C15" s="91"/>
      <x:c r="D15" s="91"/>
      <x:c r="E15" s="141"/>
      <x:c r="F15" s="141"/>
      <x:c r="G15" s="141"/>
      <x:c r="H15" s="14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8" hidden="0" customWidth="1"/>
    <x:col min="3" max="3" width="19" hidden="0" customWidth="1"/>
    <x:col min="4" max="4" width="16" hidden="0" customWidth="1"/>
    <x:col min="5" max="5" width="12" hidden="0" customWidth="1"/>
  </x:cols>
  <x:sheetData>
    <x:row r="1" ht="21.600000381469727" hidden="0" customHeight="1">
      <x:c r="A1" s="6" t="str">
        <x:v>Money-Market Hedge</x:v>
      </x:c>
      <x:c r="B1" s="6"/>
      <x:c r="C1" s="6"/>
      <x:c r="D1" s="6"/>
      <x:c r="E1" s="6"/>
      <x:c r="F1" s="156"/>
      <x:c r="G1" s="156"/>
      <x:c r="H1" s="156"/>
    </x:row>
    <x:row r="2" ht="21.600000381469727" hidden="0" customHeight="1">
      <x:c r="A2" s="9" t="str">
        <x:v>Three explicit and auditable steps: borrow EUR, convert to USD, and invest USD</x:v>
      </x:c>
      <x:c r="B2" s="9"/>
      <x:c r="C2" s="9"/>
      <x:c r="D2" s="9"/>
      <x:c r="E2" s="9"/>
      <x:c r="F2" s="141"/>
      <x:c r="G2" s="141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20" t="str">
        <x:v>Step</x:v>
      </x:c>
      <x:c r="B5" s="20" t="str">
        <x:v>Calculation</x:v>
      </x:c>
      <x:c r="C5" s="20" t="str">
        <x:v>Value</x:v>
      </x:c>
      <x:c r="D5" s="20" t="str">
        <x:v>Unit</x:v>
      </x:c>
      <x:c r="E5" s="141"/>
      <x:c r="F5" s="141"/>
      <x:c r="G5" s="141"/>
      <x:c r="H5" s="141"/>
    </x:row>
    <x:row r="6" ht="15" hidden="0" customHeight="1">
      <x:c r="A6" s="145"/>
      <x:c r="B6" s="145"/>
      <x:c r="C6" s="145"/>
      <x:c r="D6" s="145"/>
      <x:c r="E6" s="141"/>
      <x:c r="F6" s="141"/>
      <x:c r="G6" s="141"/>
      <x:c r="H6" s="141"/>
    </x:row>
    <x:row r="7" ht="15" hidden="0" customHeight="1">
      <x:c r="A7" s="145" t="str">
        <x:v>Step 1</x:v>
      </x:c>
      <x:c r="B7" s="145" t="str">
        <x:v>Borrow EUR today</x:v>
      </x:c>
      <x:c r="C7" s="170" t="n">
        <x:f>FC_AMT/(1+R_FC*T_DAYS/'Inputs'!$B$19)</x:f>
        <x:v>4387979.074793003</x:v>
      </x:c>
      <x:c r="D7" s="145" t="str">
        <x:v>EUR</x:v>
      </x:c>
      <x:c r="E7" s="141"/>
      <x:c r="F7" s="141"/>
      <x:c r="G7" s="141"/>
      <x:c r="H7" s="141"/>
    </x:row>
    <x:row r="8" ht="15" hidden="0" customHeight="1">
      <x:c r="A8" s="145" t="str"/>
      <x:c r="B8" s="145" t="str">
        <x:v>EUR settlement obligation</x:v>
      </x:c>
      <x:c r="C8" s="170" t="n">
        <x:f>C7*(1+R_FC*T_DAYS/'Inputs'!$B$19)</x:f>
        <x:v>4500000</x:v>
      </x:c>
      <x:c r="D8" s="145" t="str">
        <x:v>EUR</x:v>
      </x:c>
      <x:c r="E8" s="141"/>
      <x:c r="F8" s="141"/>
      <x:c r="G8" s="141"/>
      <x:c r="H8" s="141"/>
    </x:row>
    <x:row r="9" ht="15" hidden="0" customHeight="1">
      <x:c r="A9" s="145" t="str">
        <x:v>Step 2</x:v>
      </x:c>
      <x:c r="B9" s="145" t="str">
        <x:v>Convert borrowed EUR to USD now</x:v>
      </x:c>
      <x:c r="C9" s="169" t="n">
        <x:f>C7*S0_in</x:f>
        <x:v>5072065.012553232</x:v>
      </x:c>
      <x:c r="D9" s="145" t="str">
        <x:v>USD</x:v>
      </x:c>
      <x:c r="E9" s="141"/>
      <x:c r="F9" s="141"/>
      <x:c r="G9" s="141"/>
      <x:c r="H9" s="141"/>
    </x:row>
    <x:row r="10" ht="15" hidden="0" customHeight="1">
      <x:c r="A10" s="145" t="str"/>
      <x:c r="B10" s="145" t="str">
        <x:v>Spot exchange rate</x:v>
      </x:c>
      <x:c r="C10" s="168" t="n">
        <x:f>S0_in</x:f>
        <x:v>1.1559</x:v>
      </x:c>
      <x:c r="D10" s="145" t="str">
        <x:v>USD/EUR</x:v>
      </x:c>
      <x:c r="E10" s="141"/>
      <x:c r="F10" s="141"/>
      <x:c r="G10" s="141"/>
      <x:c r="H10" s="141"/>
    </x:row>
    <x:row r="11" ht="15" hidden="0" customHeight="1">
      <x:c r="A11" s="145" t="str">
        <x:v>Step 3</x:v>
      </x:c>
      <x:c r="B11" s="145" t="str">
        <x:v>Invest USD until settlement</x:v>
      </x:c>
      <x:c r="C11" s="169" t="n">
        <x:f>C9*(1+R_USD*T_DAYS/'Inputs'!$B$19)</x:f>
        <x:v>5275454.819556616</x:v>
      </x:c>
      <x:c r="D11" s="145" t="str">
        <x:v>USD</x:v>
      </x:c>
      <x:c r="E11" s="141"/>
      <x:c r="F11" s="141"/>
      <x:c r="G11" s="141"/>
      <x:c r="H11" s="141"/>
    </x:row>
    <x:row r="12" ht="15" hidden="0" customHeight="1">
      <x:c r="A12" s="145" t="str">
        <x:v>Output</x:v>
      </x:c>
      <x:c r="B12" s="145" t="str">
        <x:v>Final USD proceeds</x:v>
      </x:c>
      <x:c r="C12" s="146" t="n">
        <x:f>C11</x:f>
        <x:v>5275454.819556616</x:v>
      </x:c>
      <x:c r="D12" s="145" t="str">
        <x:v>USD</x:v>
      </x:c>
      <x:c r="E12" s="141"/>
      <x:c r="F12" s="141"/>
      <x:c r="G12" s="141"/>
      <x:c r="H12" s="141"/>
    </x:row>
    <x:row r="13" ht="15" hidden="0" customHeight="1">
      <x:c r="A13" s="141"/>
      <x:c r="B13" s="141"/>
      <x:c r="C13" s="141"/>
      <x:c r="D13" s="141"/>
      <x:c r="E13" s="141"/>
      <x:c r="F13" s="141"/>
      <x:c r="G13" s="141"/>
      <x:c r="H13" s="141"/>
    </x:row>
    <x:row r="14" ht="15" hidden="0" customHeight="1">
      <x:c r="A14" s="141"/>
      <x:c r="B14" s="141"/>
      <x:c r="C14" s="141"/>
      <x:c r="D14" s="141"/>
      <x:c r="E14" s="141"/>
      <x:c r="F14" s="141"/>
      <x:c r="G14" s="141"/>
      <x:c r="H14" s="141"/>
    </x:row>
    <x:row r="15" ht="15" hidden="0" customHeight="1">
      <x:c r="A15" s="91" t="str">
        <x:v>Step 1 discounts the future EUR receivable at the EUR ACT/360 rate.</x:v>
      </x:c>
      <x:c r="B15" s="91"/>
      <x:c r="C15" s="91"/>
      <x:c r="D15" s="91"/>
      <x:c r="E15" s="91"/>
      <x:c r="F15" s="141"/>
      <x:c r="G15" s="141"/>
      <x:c r="H15" s="141"/>
    </x:row>
    <x:row r="16" ht="15" hidden="0" customHeight="1">
      <x:c r="A16" s="91" t="str">
        <x:v>Step 2 converts the borrowed EUR at S0_in; Step 3 compounds the USD at the USD ACT/360 rate.</x:v>
      </x:c>
      <x:c r="B16" s="91"/>
      <x:c r="C16" s="91"/>
      <x:c r="D16" s="91"/>
      <x:c r="E16" s="91"/>
      <x:c r="F16" s="141"/>
      <x:c r="G16" s="141"/>
      <x:c r="H16" s="141"/>
    </x:row>
    <x:row r="17" ht="15" hidden="0" customHeight="1">
      <x:c r="A17" s="91" t="str">
        <x:v>The receivable repays the EUR borrowing at settlement.</x:v>
      </x:c>
      <x:c r="B17" s="91"/>
      <x:c r="C17" s="91"/>
      <x:c r="D17" s="91"/>
      <x:c r="E17" s="91"/>
      <x:c r="F17" s="141"/>
      <x:c r="G17" s="141"/>
      <x:c r="H17" s="141"/>
    </x:row>
    <x:row r="18" ht="15" hidden="0" customHeight="1">
      <x:c r="A18" s="91"/>
      <x:c r="B18" s="91"/>
      <x:c r="C18" s="91"/>
      <x:c r="D18" s="91"/>
      <x:c r="E18" s="91"/>
      <x:c r="F18" s="141"/>
      <x:c r="G18" s="141"/>
      <x:c r="H18" s="14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8" hidden="0" customWidth="1"/>
    <x:col min="3" max="3" width="14" hidden="0" customWidth="1"/>
    <x:col min="4" max="4" width="31" hidden="0" customWidth="1"/>
    <x:col min="5" max="5" width="18" hidden="0" customWidth="1"/>
    <x:col min="6" max="6" width="14" hidden="0" customWidth="1"/>
    <x:col min="7" max="7" width="10" hidden="0" customWidth="1"/>
  </x:cols>
  <x:sheetData>
    <x:row r="1" ht="21.600000381469727" hidden="0" customHeight="1">
      <x:c r="A1" s="6" t="str">
        <x:v>Option Hedge</x:v>
      </x:c>
      <x:c r="B1" s="6"/>
      <x:c r="C1" s="6"/>
      <x:c r="D1" s="6"/>
      <x:c r="E1" s="6"/>
      <x:c r="F1" s="6"/>
      <x:c r="G1" s="6"/>
      <x:c r="H1" s="156"/>
    </x:row>
    <x:row r="2" ht="21.600000381469727" hidden="0" customHeight="1">
      <x:c r="A2" s="9" t="str">
        <x:v>Standalone illustration uses S0_in as S_T; the Sensitivity tab varies local settlement scenarios</x:v>
      </x:c>
      <x:c r="B2" s="9"/>
      <x:c r="C2" s="9"/>
      <x:c r="D2" s="9"/>
      <x:c r="E2" s="9"/>
      <x:c r="F2" s="9"/>
      <x:c r="G2" s="9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141" t="str">
        <x:v>Illustrative settlement rate S_T</x:v>
      </x:c>
      <x:c r="B5" s="168" t="n">
        <x:f>S0_in</x:f>
        <x:v>1.1559</x:v>
      </x:c>
      <x:c r="C5" s="141"/>
      <x:c r="D5" s="141"/>
      <x:c r="E5" s="141"/>
      <x:c r="F5" s="141"/>
      <x:c r="G5" s="141"/>
      <x:c r="H5" s="141"/>
    </x:row>
    <x:row r="6" ht="15" hidden="0" customHeight="1">
      <x:c r="A6" s="141"/>
      <x:c r="B6" s="141"/>
      <x:c r="C6" s="141"/>
      <x:c r="D6" s="141"/>
      <x:c r="E6" s="141"/>
      <x:c r="F6" s="141"/>
      <x:c r="G6" s="141"/>
      <x:c r="H6" s="141"/>
    </x:row>
    <x:row r="7" ht="15" hidden="0" customHeight="1">
      <x:c r="A7" s="16" t="str">
        <x:v>Unhedged Reference</x:v>
      </x:c>
      <x:c r="B7" s="16"/>
      <x:c r="C7" s="16"/>
      <x:c r="D7" s="141"/>
      <x:c r="E7" s="141"/>
      <x:c r="F7" s="141"/>
      <x:c r="G7" s="141"/>
      <x:c r="H7" s="141"/>
    </x:row>
    <x:row r="8" ht="15" hidden="0" customHeight="1">
      <x:c r="A8" s="145" t="str">
        <x:v>Unhedged USD proceeds</x:v>
      </x:c>
      <x:c r="B8" s="146" t="n">
        <x:f>FC_AMT*$B$5</x:f>
        <x:v>5201550</x:v>
      </x:c>
      <x:c r="C8" s="145" t="str">
        <x:v>USD</x:v>
      </x:c>
      <x:c r="D8" s="141"/>
      <x:c r="E8" s="141"/>
      <x:c r="F8" s="141"/>
      <x:c r="G8" s="141"/>
      <x:c r="H8" s="141"/>
    </x:row>
    <x:row r="9" ht="15" hidden="0" customHeight="1">
      <x:c r="A9" s="141"/>
      <x:c r="B9" s="141"/>
      <x:c r="C9" s="141"/>
      <x:c r="D9" s="141"/>
      <x:c r="E9" s="141"/>
      <x:c r="F9" s="141"/>
      <x:c r="G9" s="141"/>
      <x:c r="H9" s="141"/>
    </x:row>
    <x:row r="10" ht="15" hidden="0" customHeight="1">
      <x:c r="A10" s="16" t="str">
        <x:v>Long EUR Put — conventional receivable hedge</x:v>
      </x:c>
      <x:c r="B10" s="16"/>
      <x:c r="C10" s="16"/>
      <x:c r="D10" s="16" t="str">
        <x:v>Long EUR Call — separate illustrative strategy</x:v>
      </x:c>
      <x:c r="E10" s="16"/>
      <x:c r="F10" s="16"/>
      <x:c r="G10" s="141"/>
      <x:c r="H10" s="141"/>
    </x:row>
    <x:row r="11" ht="15" hidden="0" customHeight="1">
      <x:c r="A11" s="145" t="str">
        <x:v>Put strike</x:v>
      </x:c>
      <x:c r="B11" s="168" t="n">
        <x:f>K_PUT</x:f>
        <x:v>1.1559</x:v>
      </x:c>
      <x:c r="C11" s="145" t="str">
        <x:v>USD/EUR</x:v>
      </x:c>
      <x:c r="D11" s="145" t="str">
        <x:v>Call strike</x:v>
      </x:c>
      <x:c r="E11" s="168" t="n">
        <x:f>K_CALL</x:f>
        <x:v>1.1559</x:v>
      </x:c>
      <x:c r="F11" s="145" t="str">
        <x:v>USD/EUR</x:v>
      </x:c>
      <x:c r="G11" s="141"/>
      <x:c r="H11" s="141"/>
    </x:row>
    <x:row r="12" ht="15" hidden="0" customHeight="1">
      <x:c r="A12" s="145" t="str">
        <x:v>Premium cost</x:v>
      </x:c>
      <x:c r="B12" s="169" t="n">
        <x:f>FC_AMT*PREM_PUT</x:f>
        <x:v>135000</x:v>
      </x:c>
      <x:c r="C12" s="145" t="str">
        <x:v>USD</x:v>
      </x:c>
      <x:c r="D12" s="145" t="str">
        <x:v>Premium cost</x:v>
      </x:c>
      <x:c r="E12" s="169" t="n">
        <x:f>FC_AMT*PREM_CALL</x:f>
        <x:v>135000</x:v>
      </x:c>
      <x:c r="F12" s="145" t="str">
        <x:v>USD</x:v>
      </x:c>
      <x:c r="G12" s="141"/>
      <x:c r="H12" s="141"/>
    </x:row>
    <x:row r="13" ht="15" hidden="0" customHeight="1">
      <x:c r="A13" s="145" t="str">
        <x:v>Gross protected proceeds</x:v>
      </x:c>
      <x:c r="B13" s="169" t="n">
        <x:f>FC_AMT*MAX($B$5,K_PUT)</x:f>
        <x:v>5201550</x:v>
      </x:c>
      <x:c r="C13" s="145" t="str">
        <x:v>USD</x:v>
      </x:c>
      <x:c r="D13" s="145" t="str">
        <x:v>Unhedged base proceeds</x:v>
      </x:c>
      <x:c r="E13" s="169" t="n">
        <x:f>FC_AMT*$B$5</x:f>
        <x:v>5201550</x:v>
      </x:c>
      <x:c r="F13" s="145" t="str">
        <x:v>USD</x:v>
      </x:c>
      <x:c r="G13" s="141"/>
      <x:c r="H13" s="141"/>
    </x:row>
    <x:row r="14" ht="15" hidden="0" customHeight="1">
      <x:c r="A14" s="145" t="str">
        <x:v>Participation / protection rate</x:v>
      </x:c>
      <x:c r="B14" s="168" t="n">
        <x:f>MAX($B$5,K_PUT)</x:f>
        <x:v>1.1559</x:v>
      </x:c>
      <x:c r="C14" s="145" t="str">
        <x:v>USD/EUR</x:v>
      </x:c>
      <x:c r="D14" s="145" t="str">
        <x:v>Call participation adjustment</x:v>
      </x:c>
      <x:c r="E14" s="169" t="n">
        <x:f>FC_AMT*MAX($B$5-K_CALL,0)</x:f>
        <x:v>0</x:v>
      </x:c>
      <x:c r="F14" s="145" t="str">
        <x:v>USD</x:v>
      </x:c>
      <x:c r="G14" s="141"/>
      <x:c r="H14" s="141"/>
    </x:row>
    <x:row r="15" ht="15" hidden="0" customHeight="1">
      <x:c r="A15" s="145" t="str">
        <x:v>Put net proceeds</x:v>
      </x:c>
      <x:c r="B15" s="146" t="n">
        <x:f>B13-B12</x:f>
        <x:v>5066550</x:v>
      </x:c>
      <x:c r="C15" s="145" t="str">
        <x:v>USD</x:v>
      </x:c>
      <x:c r="D15" s="145" t="str">
        <x:v>Call net proceeds</x:v>
      </x:c>
      <x:c r="E15" s="146" t="n">
        <x:f>E13-E14-E12</x:f>
        <x:v>5066550</x:v>
      </x:c>
      <x:c r="F15" s="145" t="str">
        <x:v>USD</x:v>
      </x:c>
      <x:c r="G15" s="141"/>
      <x:c r="H15" s="141"/>
    </x:row>
    <x:row r="16" ht="15" hidden="0" customHeight="1">
      <x:c r="A16" s="141"/>
      <x:c r="B16" s="141"/>
      <x:c r="C16" s="141"/>
      <x:c r="D16" s="141"/>
      <x:c r="E16" s="141"/>
      <x:c r="F16" s="141"/>
      <x:c r="G16" s="141"/>
      <x:c r="H16" s="141"/>
    </x:row>
    <x:row r="17" ht="15" hidden="0" customHeight="1">
      <x:c r="A17" s="141"/>
      <x:c r="B17" s="141"/>
      <x:c r="C17" s="141"/>
      <x:c r="D17" s="141"/>
      <x:c r="E17" s="141"/>
      <x:c r="F17" s="141"/>
      <x:c r="G17" s="141"/>
      <x:c r="H17" s="141"/>
    </x:row>
    <x:row r="18" ht="15" hidden="0" customHeight="1">
      <x:c r="A18" s="91" t="str">
        <x:v>Put formula: FC_AMT × MAX(S_T, K_PUT) − FC_AMT × PREM_PUT.</x:v>
      </x:c>
      <x:c r="B18" s="91"/>
      <x:c r="C18" s="91"/>
      <x:c r="D18" s="91"/>
      <x:c r="E18" s="91"/>
      <x:c r="F18" s="91"/>
      <x:c r="G18" s="91"/>
      <x:c r="H18" s="141"/>
    </x:row>
    <x:row r="19" ht="15" hidden="0" customHeight="1">
      <x:c r="A19" s="91" t="str">
        <x:v>Call formula: FC_AMT × S_T − FC_AMT × MAX(S_T − K_CALL, 0) − FC_AMT × PREM_CALL.</x:v>
      </x:c>
      <x:c r="B19" s="91"/>
      <x:c r="C19" s="91"/>
      <x:c r="D19" s="91"/>
      <x:c r="E19" s="91"/>
      <x:c r="F19" s="91"/>
      <x:c r="G19" s="91"/>
      <x:c r="H19" s="141"/>
    </x:row>
    <x:row r="20" ht="15" hidden="0" customHeight="1">
      <x:c r="A20" s="91" t="str">
        <x:v>The call follows the user-specified separate illustrative treatment; premiums are paid upfront and shown in USD.</x:v>
      </x:c>
      <x:c r="B20" s="91"/>
      <x:c r="C20" s="91"/>
      <x:c r="D20" s="91"/>
      <x:c r="E20" s="91"/>
      <x:c r="F20" s="91"/>
      <x:c r="G20" s="91"/>
      <x:c r="H20" s="141"/>
    </x:row>
    <x:row r="21" ht="15" hidden="0" customHeight="1">
      <x:c r="A21" s="91"/>
      <x:c r="B21" s="91"/>
      <x:c r="C21" s="91"/>
      <x:c r="D21" s="91"/>
      <x:c r="E21" s="91"/>
      <x:c r="F21" s="91"/>
      <x:c r="G21" s="91"/>
      <x:c r="H21" s="14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21.600000381469727" hidden="0" customHeight="1">
      <x:c r="A1" s="6" t="str">
        <x:v>Settlement-Rate Sensitivity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</x:row>
    <x:row r="2" ht="21.600000381469727" hidden="0" customHeight="1">
      <x:c r="A2" s="9" t="str">
        <x:v>S_T ranges from 95% to 105% of S0_in in 1% increments; all strategy proceeds are formula-driven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  <x:c r="I3" s="141"/>
      <x:c r="J3" s="141"/>
      <x:c r="K3" s="141"/>
      <x:c r="L3" s="141"/>
      <x:c r="M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  <x:c r="I4" s="141"/>
      <x:c r="J4" s="141"/>
      <x:c r="K4" s="141"/>
      <x:c r="L4" s="141"/>
      <x:c r="M4" s="141"/>
    </x:row>
    <x:row r="5" ht="15" hidden="0" customHeight="1">
      <x:c r="A5" s="20" t="str">
        <x:v>S_T / S0_in</x:v>
      </x:c>
      <x:c r="B5" s="20" t="str">
        <x:v>Local S_T (USD/EUR)</x:v>
      </x:c>
      <x:c r="C5" s="20" t="str">
        <x:v>Unhedged</x:v>
      </x:c>
      <x:c r="D5" s="20" t="str">
        <x:v>Forward</x:v>
      </x:c>
      <x:c r="E5" s="20" t="str">
        <x:v>Money Market</x:v>
      </x:c>
      <x:c r="F5" s="20" t="str">
        <x:v>Put Option</x:v>
      </x:c>
      <x:c r="G5" s="141"/>
      <x:c r="H5" s="141"/>
      <x:c r="I5" s="141"/>
      <x:c r="J5" s="141"/>
      <x:c r="K5" s="141"/>
      <x:c r="L5" s="141"/>
      <x:c r="M5" s="141"/>
    </x:row>
    <x:row r="6" ht="15" hidden="0" customHeight="1">
      <x:c r="A6" s="171" t="n">
        <x:v>0.95</x:v>
      </x:c>
      <x:c r="B6" s="168" t="n">
        <x:f>A6*S0_in</x:f>
        <x:v>1.0981049999999999</x:v>
      </x:c>
      <x:c r="C6" s="169" t="n">
        <x:f>FC_AMT*B6</x:f>
        <x:v>4941472.499999999</x:v>
      </x:c>
      <x:c r="D6" s="169" t="n">
        <x:f>FC_AMT*F0_in</x:f>
        <x:v>5275454.819556616</x:v>
      </x:c>
      <x:c r="E6" s="169" t="n">
        <x:f>FC_AMT/(1+R_FC*T_DAYS/'Inputs'!$B$19)*S0_in*(1+R_USD*T_DAYS/'Inputs'!$B$19)</x:f>
        <x:v>5275454.819556616</x:v>
      </x:c>
      <x:c r="F6" s="169" t="n">
        <x:f>FC_AMT*MAX(B6,K_PUT)-FC_AMT*PREM_PUT</x:f>
        <x:v>5066550</x:v>
      </x:c>
      <x:c r="G6" s="141"/>
      <x:c r="H6" s="141"/>
      <x:c r="I6" s="141"/>
      <x:c r="J6" s="141"/>
      <x:c r="K6" s="141"/>
      <x:c r="L6" s="141"/>
      <x:c r="M6" s="141"/>
    </x:row>
    <x:row r="7" ht="15" hidden="0" customHeight="1">
      <x:c r="A7" s="171" t="n">
        <x:v>0.96</x:v>
      </x:c>
      <x:c r="B7" s="168" t="n">
        <x:f>A7*S0_in</x:f>
        <x:v>1.109664</x:v>
      </x:c>
      <x:c r="C7" s="169" t="n">
        <x:f>FC_AMT*B7</x:f>
        <x:v>4993488</x:v>
      </x:c>
      <x:c r="D7" s="169" t="n">
        <x:f>FC_AMT*F0_in</x:f>
        <x:v>5275454.819556616</x:v>
      </x:c>
      <x:c r="E7" s="169" t="n">
        <x:f>FC_AMT/(1+R_FC*T_DAYS/'Inputs'!$B$19)*S0_in*(1+R_USD*T_DAYS/'Inputs'!$B$19)</x:f>
        <x:v>5275454.819556616</x:v>
      </x:c>
      <x:c r="F7" s="169" t="n">
        <x:f>FC_AMT*MAX(B7,K_PUT)-FC_AMT*PREM_PUT</x:f>
        <x:v>5066550</x:v>
      </x:c>
      <x:c r="G7" s="141"/>
      <x:c r="H7" s="141"/>
      <x:c r="I7" s="141"/>
      <x:c r="J7" s="141"/>
      <x:c r="K7" s="141"/>
      <x:c r="L7" s="141"/>
      <x:c r="M7" s="141"/>
    </x:row>
    <x:row r="8" ht="15" hidden="0" customHeight="1">
      <x:c r="A8" s="171" t="n">
        <x:v>0.97</x:v>
      </x:c>
      <x:c r="B8" s="168" t="n">
        <x:f>A8*S0_in</x:f>
        <x:v>1.1212229999999999</x:v>
      </x:c>
      <x:c r="C8" s="169" t="n">
        <x:f>FC_AMT*B8</x:f>
        <x:v>5045503.499999999</x:v>
      </x:c>
      <x:c r="D8" s="169" t="n">
        <x:f>FC_AMT*F0_in</x:f>
        <x:v>5275454.819556616</x:v>
      </x:c>
      <x:c r="E8" s="169" t="n">
        <x:f>FC_AMT/(1+R_FC*T_DAYS/'Inputs'!$B$19)*S0_in*(1+R_USD*T_DAYS/'Inputs'!$B$19)</x:f>
        <x:v>5275454.819556616</x:v>
      </x:c>
      <x:c r="F8" s="169" t="n">
        <x:f>FC_AMT*MAX(B8,K_PUT)-FC_AMT*PREM_PUT</x:f>
        <x:v>5066550</x:v>
      </x:c>
      <x:c r="G8" s="141"/>
      <x:c r="H8" s="141"/>
      <x:c r="I8" s="141"/>
      <x:c r="J8" s="141"/>
      <x:c r="K8" s="141"/>
      <x:c r="L8" s="141"/>
      <x:c r="M8" s="141"/>
    </x:row>
    <x:row r="9" ht="15" hidden="0" customHeight="1">
      <x:c r="A9" s="171" t="n">
        <x:v>0.98</x:v>
      </x:c>
      <x:c r="B9" s="168" t="n">
        <x:f>A9*S0_in</x:f>
        <x:v>1.132782</x:v>
      </x:c>
      <x:c r="C9" s="169" t="n">
        <x:f>FC_AMT*B9</x:f>
        <x:v>5097519</x:v>
      </x:c>
      <x:c r="D9" s="169" t="n">
        <x:f>FC_AMT*F0_in</x:f>
        <x:v>5275454.819556616</x:v>
      </x:c>
      <x:c r="E9" s="169" t="n">
        <x:f>FC_AMT/(1+R_FC*T_DAYS/'Inputs'!$B$19)*S0_in*(1+R_USD*T_DAYS/'Inputs'!$B$19)</x:f>
        <x:v>5275454.819556616</x:v>
      </x:c>
      <x:c r="F9" s="169" t="n">
        <x:f>FC_AMT*MAX(B9,K_PUT)-FC_AMT*PREM_PUT</x:f>
        <x:v>5066550</x:v>
      </x:c>
      <x:c r="G9" s="141"/>
      <x:c r="H9" s="141"/>
      <x:c r="I9" s="141"/>
      <x:c r="J9" s="141"/>
      <x:c r="K9" s="141"/>
      <x:c r="L9" s="141"/>
      <x:c r="M9" s="141"/>
    </x:row>
    <x:row r="10" ht="15" hidden="0" customHeight="1">
      <x:c r="A10" s="171" t="n">
        <x:v>0.99</x:v>
      </x:c>
      <x:c r="B10" s="168" t="n">
        <x:f>A10*S0_in</x:f>
        <x:v>1.1443409999999998</x:v>
      </x:c>
      <x:c r="C10" s="169" t="n">
        <x:f>FC_AMT*B10</x:f>
        <x:v>5149534.499999999</x:v>
      </x:c>
      <x:c r="D10" s="169" t="n">
        <x:f>FC_AMT*F0_in</x:f>
        <x:v>5275454.819556616</x:v>
      </x:c>
      <x:c r="E10" s="169" t="n">
        <x:f>FC_AMT/(1+R_FC*T_DAYS/'Inputs'!$B$19)*S0_in*(1+R_USD*T_DAYS/'Inputs'!$B$19)</x:f>
        <x:v>5275454.819556616</x:v>
      </x:c>
      <x:c r="F10" s="169" t="n">
        <x:f>FC_AMT*MAX(B10,K_PUT)-FC_AMT*PREM_PUT</x:f>
        <x:v>5066550</x:v>
      </x:c>
      <x:c r="G10" s="141"/>
      <x:c r="H10" s="141"/>
      <x:c r="I10" s="141"/>
      <x:c r="J10" s="141"/>
      <x:c r="K10" s="141"/>
      <x:c r="L10" s="141"/>
      <x:c r="M10" s="141"/>
    </x:row>
    <x:row r="11" ht="15" hidden="0" customHeight="1">
      <x:c r="A11" s="171" t="n">
        <x:v>1</x:v>
      </x:c>
      <x:c r="B11" s="168" t="n">
        <x:f>A11*S0_in</x:f>
        <x:v>1.1559</x:v>
      </x:c>
      <x:c r="C11" s="169" t="n">
        <x:f>FC_AMT*B11</x:f>
        <x:v>5201550</x:v>
      </x:c>
      <x:c r="D11" s="169" t="n">
        <x:f>FC_AMT*F0_in</x:f>
        <x:v>5275454.819556616</x:v>
      </x:c>
      <x:c r="E11" s="169" t="n">
        <x:f>FC_AMT/(1+R_FC*T_DAYS/'Inputs'!$B$19)*S0_in*(1+R_USD*T_DAYS/'Inputs'!$B$19)</x:f>
        <x:v>5275454.819556616</x:v>
      </x:c>
      <x:c r="F11" s="169" t="n">
        <x:f>FC_AMT*MAX(B11,K_PUT)-FC_AMT*PREM_PUT</x:f>
        <x:v>5066550</x:v>
      </x:c>
      <x:c r="G11" s="141"/>
      <x:c r="H11" s="141"/>
      <x:c r="I11" s="141"/>
      <x:c r="J11" s="141"/>
      <x:c r="K11" s="141"/>
      <x:c r="L11" s="141"/>
      <x:c r="M11" s="141"/>
    </x:row>
    <x:row r="12" ht="15" hidden="0" customHeight="1">
      <x:c r="A12" s="171" t="n">
        <x:v>1.01</x:v>
      </x:c>
      <x:c r="B12" s="168" t="n">
        <x:f>A12*S0_in</x:f>
        <x:v>1.167459</x:v>
      </x:c>
      <x:c r="C12" s="169" t="n">
        <x:f>FC_AMT*B12</x:f>
        <x:v>5253565.5</x:v>
      </x:c>
      <x:c r="D12" s="169" t="n">
        <x:f>FC_AMT*F0_in</x:f>
        <x:v>5275454.819556616</x:v>
      </x:c>
      <x:c r="E12" s="169" t="n">
        <x:f>FC_AMT/(1+R_FC*T_DAYS/'Inputs'!$B$19)*S0_in*(1+R_USD*T_DAYS/'Inputs'!$B$19)</x:f>
        <x:v>5275454.819556616</x:v>
      </x:c>
      <x:c r="F12" s="169" t="n">
        <x:f>FC_AMT*MAX(B12,K_PUT)-FC_AMT*PREM_PUT</x:f>
        <x:v>5118565.5</x:v>
      </x:c>
      <x:c r="G12" s="141"/>
      <x:c r="H12" s="141"/>
      <x:c r="I12" s="141"/>
      <x:c r="J12" s="141"/>
      <x:c r="K12" s="141"/>
      <x:c r="L12" s="141"/>
      <x:c r="M12" s="141"/>
    </x:row>
    <x:row r="13" ht="15" hidden="0" customHeight="1">
      <x:c r="A13" s="171" t="n">
        <x:v>1.02</x:v>
      </x:c>
      <x:c r="B13" s="168" t="n">
        <x:f>A13*S0_in</x:f>
        <x:v>1.179018</x:v>
      </x:c>
      <x:c r="C13" s="169" t="n">
        <x:f>FC_AMT*B13</x:f>
        <x:v>5305581</x:v>
      </x:c>
      <x:c r="D13" s="169" t="n">
        <x:f>FC_AMT*F0_in</x:f>
        <x:v>5275454.819556616</x:v>
      </x:c>
      <x:c r="E13" s="169" t="n">
        <x:f>FC_AMT/(1+R_FC*T_DAYS/'Inputs'!$B$19)*S0_in*(1+R_USD*T_DAYS/'Inputs'!$B$19)</x:f>
        <x:v>5275454.819556616</x:v>
      </x:c>
      <x:c r="F13" s="169" t="n">
        <x:f>FC_AMT*MAX(B13,K_PUT)-FC_AMT*PREM_PUT</x:f>
        <x:v>5170581</x:v>
      </x:c>
      <x:c r="G13" s="141"/>
      <x:c r="H13" s="141"/>
      <x:c r="I13" s="141"/>
      <x:c r="J13" s="141"/>
      <x:c r="K13" s="141"/>
      <x:c r="L13" s="141"/>
      <x:c r="M13" s="141"/>
    </x:row>
    <x:row r="14" ht="15" hidden="0" customHeight="1">
      <x:c r="A14" s="171" t="n">
        <x:v>1.03</x:v>
      </x:c>
      <x:c r="B14" s="168" t="n">
        <x:f>A14*S0_in</x:f>
        <x:v>1.190577</x:v>
      </x:c>
      <x:c r="C14" s="169" t="n">
        <x:f>FC_AMT*B14</x:f>
        <x:v>5357596.5</x:v>
      </x:c>
      <x:c r="D14" s="169" t="n">
        <x:f>FC_AMT*F0_in</x:f>
        <x:v>5275454.819556616</x:v>
      </x:c>
      <x:c r="E14" s="169" t="n">
        <x:f>FC_AMT/(1+R_FC*T_DAYS/'Inputs'!$B$19)*S0_in*(1+R_USD*T_DAYS/'Inputs'!$B$19)</x:f>
        <x:v>5275454.819556616</x:v>
      </x:c>
      <x:c r="F14" s="169" t="n">
        <x:f>FC_AMT*MAX(B14,K_PUT)-FC_AMT*PREM_PUT</x:f>
        <x:v>5222596.5</x:v>
      </x:c>
      <x:c r="G14" s="141"/>
      <x:c r="H14" s="141"/>
      <x:c r="I14" s="141"/>
      <x:c r="J14" s="141"/>
      <x:c r="K14" s="141"/>
      <x:c r="L14" s="141"/>
      <x:c r="M14" s="141"/>
    </x:row>
    <x:row r="15" ht="15" hidden="0" customHeight="1">
      <x:c r="A15" s="171" t="n">
        <x:v>1.04</x:v>
      </x:c>
      <x:c r="B15" s="168" t="n">
        <x:f>A15*S0_in</x:f>
        <x:v>1.2021359999999999</x:v>
      </x:c>
      <x:c r="C15" s="169" t="n">
        <x:f>FC_AMT*B15</x:f>
        <x:v>5409611.999999999</x:v>
      </x:c>
      <x:c r="D15" s="169" t="n">
        <x:f>FC_AMT*F0_in</x:f>
        <x:v>5275454.819556616</x:v>
      </x:c>
      <x:c r="E15" s="169" t="n">
        <x:f>FC_AMT/(1+R_FC*T_DAYS/'Inputs'!$B$19)*S0_in*(1+R_USD*T_DAYS/'Inputs'!$B$19)</x:f>
        <x:v>5275454.819556616</x:v>
      </x:c>
      <x:c r="F15" s="169" t="n">
        <x:f>FC_AMT*MAX(B15,K_PUT)-FC_AMT*PREM_PUT</x:f>
        <x:v>5274611.999999999</x:v>
      </x:c>
      <x:c r="G15" s="141"/>
      <x:c r="H15" s="141"/>
      <x:c r="I15" s="141"/>
      <x:c r="J15" s="141"/>
      <x:c r="K15" s="141"/>
      <x:c r="L15" s="141"/>
      <x:c r="M15" s="141"/>
    </x:row>
    <x:row r="16" ht="15" hidden="0" customHeight="1">
      <x:c r="A16" s="171" t="n">
        <x:v>1.05</x:v>
      </x:c>
      <x:c r="B16" s="168" t="n">
        <x:f>A16*S0_in</x:f>
        <x:v>1.213695</x:v>
      </x:c>
      <x:c r="C16" s="169" t="n">
        <x:f>FC_AMT*B16</x:f>
        <x:v>5461627.5</x:v>
      </x:c>
      <x:c r="D16" s="169" t="n">
        <x:f>FC_AMT*F0_in</x:f>
        <x:v>5275454.819556616</x:v>
      </x:c>
      <x:c r="E16" s="169" t="n">
        <x:f>FC_AMT/(1+R_FC*T_DAYS/'Inputs'!$B$19)*S0_in*(1+R_USD*T_DAYS/'Inputs'!$B$19)</x:f>
        <x:v>5275454.819556616</x:v>
      </x:c>
      <x:c r="F16" s="169" t="n">
        <x:f>FC_AMT*MAX(B16,K_PUT)-FC_AMT*PREM_PUT</x:f>
        <x:v>5326627.5</x:v>
      </x:c>
      <x:c r="G16" s="141"/>
      <x:c r="H16" s="141"/>
      <x:c r="I16" s="141"/>
      <x:c r="J16" s="141"/>
      <x:c r="K16" s="141"/>
      <x:c r="L16" s="141"/>
      <x:c r="M16" s="141"/>
    </x:row>
  </x:sheetData>
  <x:pageMargins left="0.7" right="0.7" top="0.75" bottom="0.75" header="0.3" footer="0.3"/>
  <x:drawing xmlns:r="http://schemas.openxmlformats.org/officeDocument/2006/relationships" r:id="R4fc4e5b4c4434e38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51" hidden="0" customWidth="1"/>
    <x:col min="3" max="3" width="58" hidden="0" customWidth="1"/>
  </x:cols>
  <x:sheetData>
    <x:row r="1" ht="21.600000381469727" hidden="0" customHeight="1">
      <x:c r="A1" s="6" t="str">
        <x:v>Notes &amp; Assumptions</x:v>
      </x:c>
      <x:c r="B1" s="6"/>
      <x:c r="C1" s="6"/>
      <x:c r="D1" s="6"/>
      <x:c r="E1" s="6"/>
      <x:c r="F1" s="6"/>
      <x:c r="G1" s="156"/>
      <x:c r="H1" s="156"/>
    </x:row>
    <x:row r="2" ht="21.600000381469727" hidden="0" customHeight="1">
      <x:c r="A2" s="9" t="str">
        <x:v>Model conventions, limitations, and interpretation guidance</x:v>
      </x:c>
      <x:c r="B2" s="9"/>
      <x:c r="C2" s="9"/>
      <x:c r="D2" s="9"/>
      <x:c r="E2" s="9"/>
      <x:c r="F2" s="9"/>
      <x:c r="G2" s="141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20" t="str">
        <x:v>#</x:v>
      </x:c>
      <x:c r="B5" s="20" t="str">
        <x:v>Assumption / modeling choice</x:v>
      </x:c>
      <x:c r="C5" s="20" t="str">
        <x:v>Implication</x:v>
      </x:c>
      <x:c r="D5" s="141"/>
      <x:c r="E5" s="141"/>
      <x:c r="F5" s="141"/>
      <x:c r="G5" s="141"/>
      <x:c r="H5" s="141"/>
    </x:row>
    <x:row r="6" ht="15" hidden="0" customHeight="1">
      <x:c r="A6" s="145" t="n">
        <x:v>1</x:v>
      </x:c>
      <x:c r="B6" s="172" t="str">
        <x:v>Interest rates use ACT/360.</x:v>
      </x:c>
      <x:c r="C6" s="172" t="str">
        <x:v>Interest accrual equals annual rate × T_DAYS ÷ 360.</x:v>
      </x:c>
      <x:c r="D6" s="141"/>
      <x:c r="E6" s="141"/>
      <x:c r="F6" s="141"/>
      <x:c r="G6" s="141"/>
      <x:c r="H6" s="141"/>
    </x:row>
    <x:row r="7" ht="15" hidden="0" customHeight="1">
      <x:c r="A7" s="145" t="n">
        <x:v>2</x:v>
      </x:c>
      <x:c r="B7" s="172" t="str">
        <x:v>Exchange rates are quoted as USD per EUR.</x:v>
      </x:c>
      <x:c r="C7" s="172" t="str">
        <x:v>A higher rate means a stronger EUR and more USD per EUR received.</x:v>
      </x:c>
      <x:c r="D7" s="141"/>
      <x:c r="E7" s="141"/>
      <x:c r="F7" s="141"/>
      <x:c r="G7" s="141"/>
      <x:c r="H7" s="141"/>
    </x:row>
    <x:row r="8" ht="15" hidden="0" customHeight="1">
      <x:c r="A8" s="145" t="n">
        <x:v>3</x:v>
      </x:c>
      <x:c r="B8" s="172" t="str">
        <x:v>All market inputs are indicative placeholders.</x:v>
      </x:c>
      <x:c r="C8" s="172" t="str">
        <x:v>Replace them with live market data during Phase 4.</x:v>
      </x:c>
      <x:c r="D8" s="141"/>
      <x:c r="E8" s="141"/>
      <x:c r="F8" s="141"/>
      <x:c r="G8" s="141"/>
      <x:c r="H8" s="141"/>
    </x:row>
    <x:row r="9" ht="26.399999618530273" hidden="0" customHeight="1">
      <x:c r="A9" s="145" t="n">
        <x:v>4</x:v>
      </x:c>
      <x:c r="B9" s="172" t="str">
        <x:v>Transaction costs, taxes, bid-ask spreads, and credit risk are ignored.</x:v>
      </x:c>
      <x:c r="C9" s="172" t="str">
        <x:v>Modeled proceeds are gross except for option premiums.</x:v>
      </x:c>
      <x:c r="D9" s="141"/>
      <x:c r="E9" s="141"/>
      <x:c r="F9" s="141"/>
      <x:c r="G9" s="141"/>
      <x:c r="H9" s="141"/>
    </x:row>
    <x:row r="10" ht="26.399999618530273" hidden="0" customHeight="1">
      <x:c r="A10" s="145" t="n">
        <x:v>5</x:v>
      </x:c>
      <x:c r="B10" s="172" t="str">
        <x:v>Option premiums are paid upfront and deducted from settlement proceeds.</x:v>
      </x:c>
      <x:c r="C10" s="172" t="str">
        <x:v>The model does not finance or compound premium costs.</x:v>
      </x:c>
      <x:c r="D10" s="141"/>
      <x:c r="E10" s="141"/>
      <x:c r="F10" s="141"/>
      <x:c r="G10" s="141"/>
      <x:c r="H10" s="141"/>
    </x:row>
    <x:row r="11" ht="15" hidden="0" customHeight="1">
      <x:c r="A11" s="145" t="n">
        <x:v>6</x:v>
      </x:c>
      <x:c r="B11" s="172" t="str">
        <x:v>Forward contracts require no upfront premium.</x:v>
      </x:c>
      <x:c r="C11" s="172" t="str">
        <x:v>Forward proceeds equal FC_AMT × F0_in.</x:v>
      </x:c>
      <x:c r="D11" s="141"/>
      <x:c r="E11" s="141"/>
      <x:c r="F11" s="141"/>
      <x:c r="G11" s="141"/>
      <x:c r="H11" s="141"/>
    </x:row>
    <x:row r="12" ht="15" hidden="0" customHeight="1">
      <x:c r="A12" s="145" t="n">
        <x:v>7</x:v>
      </x:c>
      <x:c r="B12" s="172" t="str">
        <x:v>Money-market borrowing and investing occur immediately.</x:v>
      </x:c>
      <x:c r="C12" s="172" t="str">
        <x:v>The EUR receivable repays the EUR borrowing at settlement.</x:v>
      </x:c>
      <x:c r="D12" s="141"/>
      <x:c r="E12" s="141"/>
      <x:c r="F12" s="141"/>
      <x:c r="G12" s="141"/>
      <x:c r="H12" s="141"/>
    </x:row>
    <x:row r="13" ht="15" hidden="0" customHeight="1">
      <x:c r="A13" s="145" t="n">
        <x:v>8</x:v>
      </x:c>
      <x:c r="B13" s="172" t="str">
        <x:v>Covered interest rate parity is expected within rounding.</x:v>
      </x:c>
      <x:c r="C13" s="172" t="str">
        <x:v>F0_in is set to 1.13005, the implied rate rounded to five decimals.</x:v>
      </x:c>
      <x:c r="D13" s="141"/>
      <x:c r="E13" s="141"/>
      <x:c r="F13" s="141"/>
      <x:c r="G13" s="141"/>
      <x:c r="H13" s="141"/>
    </x:row>
    <x:row r="14" ht="15" hidden="0" customHeight="1">
      <x:c r="A14" s="145" t="n">
        <x:v>9</x:v>
      </x:c>
      <x:c r="B14" s="172" t="str">
        <x:v>Standalone option outputs use S0_in as illustrative S_T.</x:v>
      </x:c>
      <x:c r="C14" s="172" t="str">
        <x:v>Sensitivity uses local S_T values and no eleventh named range.</x:v>
      </x:c>
      <x:c r="D14" s="141"/>
      <x:c r="E14" s="141"/>
      <x:c r="F14" s="141"/>
      <x:c r="G14" s="141"/>
      <x:c r="H14" s="141"/>
    </x:row>
    <x:row r="15" ht="15" hidden="0" customHeight="1">
      <x:c r="A15" s="145" t="n">
        <x:v>10</x:v>
      </x:c>
      <x:c r="B15" s="172" t="str">
        <x:v>The put is the conventional EUR-receivable hedge.</x:v>
      </x:c>
      <x:c r="C15" s="172" t="str">
        <x:v>It creates a floor while preserving appreciation upside, net of premium.</x:v>
      </x:c>
      <x:c r="D15" s="141"/>
      <x:c r="E15" s="141"/>
      <x:c r="F15" s="141"/>
      <x:c r="G15" s="141"/>
      <x:c r="H15" s="141"/>
    </x:row>
    <x:row r="16" ht="15" hidden="0" customHeight="1">
      <x:c r="A16" s="145" t="n">
        <x:v>11</x:v>
      </x:c>
      <x:c r="B16" s="172" t="str">
        <x:v>The call is a separate illustrative strategy.</x:v>
      </x:c>
      <x:c r="C16" s="172" t="str">
        <x:v>Its net-proceeds formula follows the user-specified interpretation exactly.</x:v>
      </x:c>
      <x:c r="D16" s="141"/>
      <x:c r="E16" s="141"/>
      <x:c r="F16" s="141"/>
      <x:c r="G16" s="141"/>
      <x:c r="H16" s="14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38" hidden="0" customWidth="1"/>
  </x:cols>
  <x:sheetData>
    <x:row r="1" ht="21.600000381469727" hidden="0" customHeight="1">
      <x:c r="A1" s="6" t="str">
        <x:v>Validation Checks</x:v>
      </x:c>
      <x:c r="B1" s="6"/>
      <x:c r="C1" s="6"/>
      <x:c r="D1" s="6"/>
      <x:c r="E1" s="6"/>
      <x:c r="F1" s="6"/>
      <x:c r="G1" s="6"/>
      <x:c r="H1" s="156"/>
    </x:row>
    <x:row r="2" ht="21.600000381469727" hidden="0" customHeight="1">
      <x:c r="A2" s="9" t="str">
        <x:v>Covered interest parity and all Section 7 validation rules</x:v>
      </x:c>
      <x:c r="B2" s="9"/>
      <x:c r="C2" s="9"/>
      <x:c r="D2" s="9"/>
      <x:c r="E2" s="9"/>
      <x:c r="F2" s="9"/>
      <x:c r="G2" s="9"/>
      <x:c r="H2" s="141"/>
    </x:row>
    <x:row r="3" ht="15" hidden="0" customHeight="1">
      <x:c r="A3" s="141"/>
      <x:c r="B3" s="141"/>
      <x:c r="C3" s="141"/>
      <x:c r="D3" s="141"/>
      <x:c r="E3" s="141"/>
      <x:c r="F3" s="141"/>
      <x:c r="G3" s="141"/>
      <x:c r="H3" s="141"/>
    </x:row>
    <x:row r="4" ht="15" hidden="0" customHeight="1">
      <x:c r="A4" s="141"/>
      <x:c r="B4" s="141"/>
      <x:c r="C4" s="141"/>
      <x:c r="D4" s="141"/>
      <x:c r="E4" s="141"/>
      <x:c r="F4" s="141"/>
      <x:c r="G4" s="141"/>
      <x:c r="H4" s="141"/>
    </x:row>
    <x:row r="5" ht="15" hidden="0" customHeight="1">
      <x:c r="A5" s="20" t="str">
        <x:v>Check</x:v>
      </x:c>
      <x:c r="B5" s="20" t="str">
        <x:v>Actual</x:v>
      </x:c>
      <x:c r="C5" s="20" t="str">
        <x:v>Expected</x:v>
      </x:c>
      <x:c r="D5" s="20" t="str">
        <x:v>Difference</x:v>
      </x:c>
      <x:c r="E5" s="20" t="str">
        <x:v>Tolerance</x:v>
      </x:c>
      <x:c r="F5" s="20" t="str">
        <x:v>Status</x:v>
      </x:c>
      <x:c r="G5" s="20" t="str">
        <x:v>Notes</x:v>
      </x:c>
      <x:c r="H5" s="141"/>
    </x:row>
    <x:row r="6" ht="15" hidden="0" customHeight="1">
      <x:c r="A6" s="145"/>
      <x:c r="B6" s="145"/>
      <x:c r="C6" s="145"/>
      <x:c r="D6" s="145"/>
      <x:c r="E6" s="145"/>
      <x:c r="F6" s="145"/>
      <x:c r="G6" s="145"/>
      <x:c r="H6" s="141"/>
    </x:row>
    <x:row r="7" ht="15" hidden="0" customHeight="1">
      <x:c r="A7" s="145" t="str">
        <x:v>Forward vs. money-market proceeds</x:v>
      </x:c>
      <x:c r="B7" s="173" t="n">
        <x:f>'Forward Hedge'!B10</x:f>
        <x:v>5275454.819556616</x:v>
      </x:c>
      <x:c r="C7" s="173" t="n">
        <x:f>'Money Market Hedge'!C12</x:f>
        <x:v>5275454.819556616</x:v>
      </x:c>
      <x:c r="D7" s="173" t="n">
        <x:f>B7-C7</x:f>
        <x:v>0</x:v>
      </x:c>
      <x:c r="E7" s="174" t="n">
        <x:f>'Inputs'!$B$21</x:f>
        <x:v>10</x:v>
      </x:c>
      <x:c r="F7" s="144" t="str">
        <x:f>IF(ABS(D7)&lt;=E7,"PASS","FAIL")</x:f>
        <x:v>PASS</x:v>
      </x:c>
      <x:c r="G7" s="172" t="str">
        <x:v>Should differ only by normal rounding</x:v>
      </x:c>
      <x:c r="H7" s="141"/>
    </x:row>
    <x:row r="8" ht="15" hidden="0" customHeight="1">
      <x:c r="A8" s="145" t="str">
        <x:v>Covered interest rate parity</x:v>
      </x:c>
      <x:c r="B8" s="168" t="n">
        <x:f>F0_in</x:f>
        <x:v>1.1723232932348036</x:v>
      </x:c>
      <x:c r="C8" s="168" t="n">
        <x:f>S0_in*(1+R_USD*T_DAYS/'Inputs'!$B$19)/(1+R_FC*T_DAYS/'Inputs'!$B$19)</x:f>
        <x:v>1.1723232932348036</x:v>
      </x:c>
      <x:c r="D8" s="168" t="n">
        <x:f>B8-C8</x:f>
        <x:v>0</x:v>
      </x:c>
      <x:c r="E8" s="161" t="n">
        <x:f>'Inputs'!$B$20</x:f>
        <x:v>0.00001</x:v>
      </x:c>
      <x:c r="F8" s="144" t="str">
        <x:f>IF(ABS(D8)&lt;=E8,"PASS","FAIL")</x:f>
        <x:v>PASS</x:v>
      </x:c>
      <x:c r="G8" s="172" t="str">
        <x:v>F_implied approximately equals F0_in</x:v>
      </x:c>
      <x:c r="H8" s="141"/>
    </x:row>
    <x:row r="9" ht="15" hidden="0" customHeight="1">
      <x:c r="A9" s="145" t="str">
        <x:v>No formula cells return errors</x:v>
      </x:c>
      <x:c r="B9" s="175" t="n">
        <x:f>IF(OR(ISERROR('Forward Hedge'!B10),ISERROR('Money Market Hedge'!C12),ISERROR('Option Hedge'!B15),ISERROR('Option Hedge'!E15),ISERROR('Sensitivity'!F16)),0,1)</x:f>
        <x:v>1</x:v>
      </x:c>
      <x:c r="C9" s="175" t="n">
        <x:f>1</x:f>
        <x:v>1</x:v>
      </x:c>
      <x:c r="D9" s="175" t="n">
        <x:f>B9-C9</x:f>
        <x:v>0</x:v>
      </x:c>
      <x:c r="E9" s="176" t="n">
        <x:f>0</x:f>
        <x:v>0</x:v>
      </x:c>
      <x:c r="F9" s="144" t="str">
        <x:f>IF(ABS(D9)&lt;=E9,"PASS","FAIL")</x:f>
        <x:v>PASS</x:v>
      </x:c>
      <x:c r="G9" s="172" t="str">
        <x:v>Tests all key calculated outputs</x:v>
      </x:c>
      <x:c r="H9" s="141"/>
    </x:row>
    <x:row r="10" ht="15" hidden="0" customHeight="1">
      <x:c r="A10" s="145" t="str">
        <x:v>Summary outputs reference formulas</x:v>
      </x:c>
      <x:c r="B10" s="175" t="n">
        <x:f>IF(AND('Cover'!B15='Option Hedge'!B8,'Cover'!B16='Forward Hedge'!B10,'Cover'!B17='Money Market Hedge'!C12,'Cover'!B18='Option Hedge'!B15,'Cover'!B19='Option Hedge'!E15,'Cover'!B20='Validation Checks'!C8),1,0)</x:f>
        <x:v>1</x:v>
      </x:c>
      <x:c r="C10" s="175" t="n">
        <x:f>1</x:f>
        <x:v>1</x:v>
      </x:c>
      <x:c r="D10" s="175" t="n">
        <x:f>B10-C10</x:f>
        <x:v>0</x:v>
      </x:c>
      <x:c r="E10" s="176" t="n">
        <x:f>0</x:f>
        <x:v>0</x:v>
      </x:c>
      <x:c r="F10" s="144" t="str">
        <x:f>IF(ABS(D10)&lt;=E10,"PASS","FAIL")</x:f>
        <x:v>PASS</x:v>
      </x:c>
      <x:c r="G10" s="172" t="str">
        <x:v>Executive-summary cells must be formulas</x:v>
      </x:c>
      <x:c r="H10" s="141"/>
    </x:row>
    <x:row r="11" ht="15" hidden="0" customHeight="1">
      <x:c r="A11" s="145" t="str">
        <x:v>Named ranges map consistently</x:v>
      </x:c>
      <x:c r="B11" s="175" t="n">
        <x:f>IF(AND(FC_AMT='Inputs'!$B$7,S0_in='Inputs'!$B$8,F0_in='Inputs'!$B$9,R_USD='Inputs'!$B$10,R_FC='Inputs'!$B$11,K_PUT='Inputs'!$B$12,K_CALL='Inputs'!$B$13,PREM_PUT='Inputs'!$B$14,PREM_CALL='Inputs'!$B$15,T_DAYS='Inputs'!$B$16),1,0)</x:f>
        <x:v>1</x:v>
      </x:c>
      <x:c r="C11" s="175" t="n">
        <x:f>1</x:f>
        <x:v>1</x:v>
      </x:c>
      <x:c r="D11" s="175" t="n">
        <x:f>B11-C11</x:f>
        <x:v>0</x:v>
      </x:c>
      <x:c r="E11" s="176" t="n">
        <x:f>0</x:f>
        <x:v>0</x:v>
      </x:c>
      <x:c r="F11" s="144" t="str">
        <x:f>IF(ABS(D11)&lt;=E11,"PASS","FAIL")</x:f>
        <x:v>PASS</x:v>
      </x:c>
      <x:c r="G11" s="172" t="str">
        <x:v>All ten names point to the specified Inputs cells</x:v>
      </x:c>
      <x:c r="H11" s="141"/>
    </x:row>
    <x:row r="12" ht="15" hidden="0" customHeight="1">
      <x:c r="A12" s="145" t="str">
        <x:v>Outputs update automatically</x:v>
      </x:c>
      <x:c r="B12" s="175" t="n">
        <x:f>IF(AND('Forward Hedge'!B10=FC_AMT*F0_in,'Money Market Hedge'!C12=FC_AMT/(1+R_FC*T_DAYS/'Inputs'!$B$19)*S0_in*(1+R_USD*T_DAYS/'Inputs'!$B$19),'Option Hedge'!B15=FC_AMT*MAX('Option Hedge'!B5,K_PUT)-FC_AMT*PREM_PUT,'Option Hedge'!E15=FC_AMT*'Option Hedge'!B5-FC_AMT*MAX('Option Hedge'!B5-K_CALL,0)-FC_AMT*PREM_CALL,'Sensitivity'!C6=FC_AMT*'Sensitivity'!B6,'Sensitivity'!F16=FC_AMT*MAX('Sensitivity'!B16,K_PUT)-FC_AMT*PREM_PUT),1,0)</x:f>
        <x:v>1</x:v>
      </x:c>
      <x:c r="C12" s="175" t="n">
        <x:f>1</x:f>
        <x:v>1</x:v>
      </x:c>
      <x:c r="D12" s="175" t="n">
        <x:f>B12-C12</x:f>
        <x:v>0</x:v>
      </x:c>
      <x:c r="E12" s="176" t="n">
        <x:f>0</x:f>
        <x:v>0</x:v>
      </x:c>
      <x:c r="F12" s="144" t="str">
        <x:f>IF(ABS(D12)&lt;=E12,"PASS","FAIL")</x:f>
        <x:v>PASS</x:v>
      </x:c>
      <x:c r="G12" s="172" t="str">
        <x:v>Key strategy and sensitivity outputs are formulas</x:v>
      </x:c>
      <x:c r="H12" s="141"/>
    </x:row>
    <x:row r="13" ht="15" hidden="0" customHeight="1">
      <x:c r="A13" s="141"/>
      <x:c r="B13" s="141"/>
      <x:c r="C13" s="141"/>
      <x:c r="D13" s="141"/>
      <x:c r="E13" s="141"/>
      <x:c r="F13" s="141"/>
      <x:c r="G13" s="141"/>
      <x:c r="H13" s="141"/>
    </x:row>
    <x:row r="14" ht="15" hidden="0" customHeight="1">
      <x:c r="A14" s="16" t="str">
        <x:v>Overall Model Status</x:v>
      </x:c>
      <x:c r="B14" s="16"/>
      <x:c r="C14" s="16"/>
      <x:c r="D14" s="16"/>
      <x:c r="E14" s="16"/>
      <x:c r="F14" s="16"/>
      <x:c r="G14" s="16"/>
      <x:c r="H14" s="141"/>
    </x:row>
    <x:row r="15" ht="15" hidden="0" customHeight="1">
      <x:c r="A15" s="177" t="str">
        <x:v>All Section 7 validation checks</x:v>
      </x:c>
      <x:c r="B15" s="177"/>
      <x:c r="C15" s="177"/>
      <x:c r="D15" s="177"/>
      <x:c r="E15" s="177"/>
      <x:c r="F15" s="144" t="str">
        <x:f>IF(COUNTIF(F7:F12,"FAIL")=0,"PASS","FAIL")</x:f>
        <x:v>PASS</x:v>
      </x:c>
      <x:c r="G15" s="141"/>
      <x:c r="H15" s="141"/>
    </x:row>
  </x:sheetData>
  <x:conditionalFormatting sqref="F7:F12">
    <x:cfRule type="containsText" dxfId="0" priority="1" operator="containsText" text="PASS"/>
    <x:cfRule type="containsText" dxfId="1" priority="2" operator="containsText" text="FAIL"/>
  </x:conditionalFormatting>
  <x:conditionalFormatting sqref="F15:F15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